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sohamkarve/Desktop/Excel/"/>
    </mc:Choice>
  </mc:AlternateContent>
  <xr:revisionPtr revIDLastSave="0" documentId="13_ncr:1_{BBF11BFE-AEDB-A34F-B4F8-239CF6FDF170}" xr6:coauthVersionLast="47" xr6:coauthVersionMax="47" xr10:uidLastSave="{00000000-0000-0000-0000-000000000000}"/>
  <bookViews>
    <workbookView xWindow="0" yWindow="0" windowWidth="28800" windowHeight="18000" xr2:uid="{75C5CC84-5870-8F4F-B7C1-A6FAD57C6350}"/>
  </bookViews>
  <sheets>
    <sheet name="orders" sheetId="1" r:id="rId1"/>
    <sheet name="Customers" sheetId="2" r:id="rId2"/>
    <sheet name="Delivery Partner" sheetId="3" r:id="rId3"/>
    <sheet name="cancellation_reasons " sheetId="9" r:id="rId4"/>
    <sheet name="pivot" sheetId="11" r:id="rId5"/>
    <sheet name="DASHBOARD" sheetId="13" r:id="rId6"/>
  </sheets>
  <definedNames>
    <definedName name="ExternalData_1" localSheetId="1" hidden="1">'Customers'!$A$3:$E$998</definedName>
    <definedName name="ExternalData_1" localSheetId="2" hidden="1">'Delivery Partner'!$A$3:$D$162</definedName>
    <definedName name="ExternalData_1" localSheetId="0" hidden="1">orders!$A$3:$K$1003</definedName>
    <definedName name="Slicer_city">#N/A</definedName>
    <definedName name="Slicer_payment_mode">#N/A</definedName>
  </definedNames>
  <calcPr calcId="191029"/>
  <pivotCaches>
    <pivotCache cacheId="1"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2" i="11" l="1"/>
  <c r="H21" i="11" a="1"/>
  <c r="H21" i="11" s="1"/>
  <c r="H20" i="1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E3" i="11"/>
  <c r="H23"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FD218A-6EC5-8D42-8FF3-2E51D3521BC8}" keepAlive="1" name="Query - cancellation_reasons" description="Connection to the 'cancellation_reasons' query in the workbook." type="5" refreshedVersion="8" background="1" saveData="1">
    <dbPr connection="Provider=Microsoft.Mashup.OleDb.1;Data Source=$Workbook$;Location=cancellation_reasons;Extended Properties=&quot;&quot;" command="SELECT * FROM [cancellation_reasons]"/>
  </connection>
  <connection id="2" xr16:uid="{00502F17-C527-5E4D-9930-03658D895A72}" keepAlive="1" name="Query - cancellation_reasons (2)" description="Connection to the 'cancellation_reasons (2)' query in the workbook." type="5" refreshedVersion="0" background="1" saveData="1">
    <dbPr connection="Provider=Microsoft.Mashup.OleDb.1;Data Source=$Workbook$;Location=&quot;cancellation_reasons (2)&quot;;Extended Properties=&quot;&quot;" command="SELECT * FROM [cancellation_reasons (2)]"/>
  </connection>
  <connection id="3" xr16:uid="{EAF0D016-5A79-0A47-80A5-DC527DCF3EB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3E7114D9-3D53-134E-8715-B676F20F871C}" keepAlive="1" name="Query - delivery_partners" description="Connection to the 'delivery_partners' query in the workbook." type="5" refreshedVersion="8" background="1" saveData="1">
    <dbPr connection="Provider=Microsoft.Mashup.OleDb.1;Data Source=$Workbook$;Location=delivery_partners;Extended Properties=&quot;&quot;" command="SELECT * FROM [delivery_partners]"/>
  </connection>
  <connection id="5" xr16:uid="{272C42DB-2308-EF45-A604-204F361CD7F3}" keepAlive="1" name="Query - quick_commerce_orders" description="Connection to the 'quick_commerce_orders' query in the workbook." type="5" refreshedVersion="8" background="1" saveData="1">
    <dbPr connection="Provider=Microsoft.Mashup.OleDb.1;Data Source=$Workbook$;Location=quick_commerce_orders;Extended Properties=&quot;&quot;" command="SELECT * FROM [quick_commerce_ord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<sst xmlns="http://schemas.openxmlformats.org/spreadsheetml/2006/main" count="8546" uniqueCount="2228">
  <si>
    <t>order_id</t>
  </si>
  <si>
    <t>customer_id</t>
  </si>
  <si>
    <t>city</t>
  </si>
  <si>
    <t>order_time</t>
  </si>
  <si>
    <t>delivery_time</t>
  </si>
  <si>
    <t>order_value</t>
  </si>
  <si>
    <t>payment_mode</t>
  </si>
  <si>
    <t>order_status</t>
  </si>
  <si>
    <t>ORD100000</t>
  </si>
  <si>
    <t>CUST34592</t>
  </si>
  <si>
    <t>Hyderabad</t>
  </si>
  <si>
    <t>Wallet</t>
  </si>
  <si>
    <t>delayed</t>
  </si>
  <si>
    <t>ORD100001</t>
  </si>
  <si>
    <t>CUST23278</t>
  </si>
  <si>
    <t>COD</t>
  </si>
  <si>
    <t>delivered</t>
  </si>
  <si>
    <t>ORD100002</t>
  </si>
  <si>
    <t>CUST56048</t>
  </si>
  <si>
    <t>Kolkata</t>
  </si>
  <si>
    <t>Net Banking</t>
  </si>
  <si>
    <t>ORD100003</t>
  </si>
  <si>
    <t>CUST52098</t>
  </si>
  <si>
    <t>ORD100004</t>
  </si>
  <si>
    <t>CUST49256</t>
  </si>
  <si>
    <t>ORD100005</t>
  </si>
  <si>
    <t>CUST38289</t>
  </si>
  <si>
    <t>Mumbai</t>
  </si>
  <si>
    <t>Credit Card</t>
  </si>
  <si>
    <t>ORD100006</t>
  </si>
  <si>
    <t>CUST33434</t>
  </si>
  <si>
    <t>Chennai</t>
  </si>
  <si>
    <t>ORD100007</t>
  </si>
  <si>
    <t>CUST91482</t>
  </si>
  <si>
    <t>Ahmedabad</t>
  </si>
  <si>
    <t>ORD100008</t>
  </si>
  <si>
    <t>CUST31395</t>
  </si>
  <si>
    <t>ORD100009</t>
  </si>
  <si>
    <t>CUST97397</t>
  </si>
  <si>
    <t>UPI</t>
  </si>
  <si>
    <t>ORD100010</t>
  </si>
  <si>
    <t>CUST75302</t>
  </si>
  <si>
    <t>Bengaluru</t>
  </si>
  <si>
    <t>ORD100011</t>
  </si>
  <si>
    <t>CUST24165</t>
  </si>
  <si>
    <t>ORD100012</t>
  </si>
  <si>
    <t>CUST23905</t>
  </si>
  <si>
    <t>ORD100013</t>
  </si>
  <si>
    <t>CUST32280</t>
  </si>
  <si>
    <t>ORD100014</t>
  </si>
  <si>
    <t>CUST48657</t>
  </si>
  <si>
    <t>ORD100015</t>
  </si>
  <si>
    <t>CUST50495</t>
  </si>
  <si>
    <t>Delhi NCR</t>
  </si>
  <si>
    <t>ORD100016</t>
  </si>
  <si>
    <t>CUST86237</t>
  </si>
  <si>
    <t>ORD100017</t>
  </si>
  <si>
    <t>CUST98907</t>
  </si>
  <si>
    <t>cancelled</t>
  </si>
  <si>
    <t>ORD100018</t>
  </si>
  <si>
    <t>CUST23478</t>
  </si>
  <si>
    <t>ORD100019</t>
  </si>
  <si>
    <t>CUST93563</t>
  </si>
  <si>
    <t>ORD100020</t>
  </si>
  <si>
    <t>CUST46062</t>
  </si>
  <si>
    <t>ORD100021</t>
  </si>
  <si>
    <t>CUST91426</t>
  </si>
  <si>
    <t>ORD100022</t>
  </si>
  <si>
    <t>CUST74987</t>
  </si>
  <si>
    <t>ORD100023</t>
  </si>
  <si>
    <t>CUST48893</t>
  </si>
  <si>
    <t>ORD100024</t>
  </si>
  <si>
    <t>CUST78878</t>
  </si>
  <si>
    <t>ORD100025</t>
  </si>
  <si>
    <t>CUST97236</t>
  </si>
  <si>
    <t>Pune</t>
  </si>
  <si>
    <t>ORD100026</t>
  </si>
  <si>
    <t>CUST56463</t>
  </si>
  <si>
    <t>ORD100027</t>
  </si>
  <si>
    <t>CUST20851</t>
  </si>
  <si>
    <t>Debit Card</t>
  </si>
  <si>
    <t>ORD100028</t>
  </si>
  <si>
    <t>CUST40926</t>
  </si>
  <si>
    <t>ORD100029</t>
  </si>
  <si>
    <t>CUST75392</t>
  </si>
  <si>
    <t>ORD100030</t>
  </si>
  <si>
    <t>CUST64597</t>
  </si>
  <si>
    <t>ORD100031</t>
  </si>
  <si>
    <t>CUST56421</t>
  </si>
  <si>
    <t>ORD100032</t>
  </si>
  <si>
    <t>CUST40379</t>
  </si>
  <si>
    <t>ORD100033</t>
  </si>
  <si>
    <t>CUST48221</t>
  </si>
  <si>
    <t>ORD100034</t>
  </si>
  <si>
    <t>CUST64118</t>
  </si>
  <si>
    <t>ORD100035</t>
  </si>
  <si>
    <t>CUST33396</t>
  </si>
  <si>
    <t>ORD100036</t>
  </si>
  <si>
    <t>CUST32156</t>
  </si>
  <si>
    <t>ORD100037</t>
  </si>
  <si>
    <t>CUST69797</t>
  </si>
  <si>
    <t>ORD100038</t>
  </si>
  <si>
    <t>CUST32676</t>
  </si>
  <si>
    <t>ORD100039</t>
  </si>
  <si>
    <t>CUST67052</t>
  </si>
  <si>
    <t>ORD100040</t>
  </si>
  <si>
    <t>CUST65082</t>
  </si>
  <si>
    <t>ORD100041</t>
  </si>
  <si>
    <t>CUST99131</t>
  </si>
  <si>
    <t>ORD100042</t>
  </si>
  <si>
    <t>CUST54671</t>
  </si>
  <si>
    <t>ORD100043</t>
  </si>
  <si>
    <t>CUST25695</t>
  </si>
  <si>
    <t>ORD100044</t>
  </si>
  <si>
    <t>CUST80217</t>
  </si>
  <si>
    <t>ORD100045</t>
  </si>
  <si>
    <t>CUST90284</t>
  </si>
  <si>
    <t>ORD100046</t>
  </si>
  <si>
    <t>CUST36361</t>
  </si>
  <si>
    <t>ORD100047</t>
  </si>
  <si>
    <t>CUST69615</t>
  </si>
  <si>
    <t>ORD100048</t>
  </si>
  <si>
    <t>CUST30328</t>
  </si>
  <si>
    <t>ORD100049</t>
  </si>
  <si>
    <t>CUST92357</t>
  </si>
  <si>
    <t>ORD100050</t>
  </si>
  <si>
    <t>CUST58427</t>
  </si>
  <si>
    <t>ORD100051</t>
  </si>
  <si>
    <t>CUST67400</t>
  </si>
  <si>
    <t>ORD100052</t>
  </si>
  <si>
    <t>CUST95674</t>
  </si>
  <si>
    <t>ORD100053</t>
  </si>
  <si>
    <t>CUST45203</t>
  </si>
  <si>
    <t>ORD100054</t>
  </si>
  <si>
    <t>CUST29116</t>
  </si>
  <si>
    <t>ORD100055</t>
  </si>
  <si>
    <t>CUST26006</t>
  </si>
  <si>
    <t>ORD100056</t>
  </si>
  <si>
    <t>CUST49871</t>
  </si>
  <si>
    <t>ORD100057</t>
  </si>
  <si>
    <t>CUST57930</t>
  </si>
  <si>
    <t>ORD100058</t>
  </si>
  <si>
    <t>CUST30458</t>
  </si>
  <si>
    <t>ORD100059</t>
  </si>
  <si>
    <t>CUST50512</t>
  </si>
  <si>
    <t>ORD100060</t>
  </si>
  <si>
    <t>CUST33238</t>
  </si>
  <si>
    <t>ORD100061</t>
  </si>
  <si>
    <t>CUST69823</t>
  </si>
  <si>
    <t>ORD100062</t>
  </si>
  <si>
    <t>CUST56434</t>
  </si>
  <si>
    <t>ORD100063</t>
  </si>
  <si>
    <t>CUST79429</t>
  </si>
  <si>
    <t>ORD100064</t>
  </si>
  <si>
    <t>CUST67819</t>
  </si>
  <si>
    <t>ORD100065</t>
  </si>
  <si>
    <t>CUST41319</t>
  </si>
  <si>
    <t>ORD100066</t>
  </si>
  <si>
    <t>CUST68520</t>
  </si>
  <si>
    <t>ORD100067</t>
  </si>
  <si>
    <t>CUST66566</t>
  </si>
  <si>
    <t>ORD100068</t>
  </si>
  <si>
    <t>CUST47460</t>
  </si>
  <si>
    <t>ORD100069</t>
  </si>
  <si>
    <t>CUST54993</t>
  </si>
  <si>
    <t>ORD100070</t>
  </si>
  <si>
    <t>CUST29358</t>
  </si>
  <si>
    <t>ORD100071</t>
  </si>
  <si>
    <t>CUST99840</t>
  </si>
  <si>
    <t>ORD100072</t>
  </si>
  <si>
    <t>CUST42431</t>
  </si>
  <si>
    <t>ORD100073</t>
  </si>
  <si>
    <t>CUST90010</t>
  </si>
  <si>
    <t>ORD100074</t>
  </si>
  <si>
    <t>CUST52087</t>
  </si>
  <si>
    <t>ORD100075</t>
  </si>
  <si>
    <t>CUST41417</t>
  </si>
  <si>
    <t>ORD100076</t>
  </si>
  <si>
    <t>CUST80589</t>
  </si>
  <si>
    <t>ORD100077</t>
  </si>
  <si>
    <t>CUST69735</t>
  </si>
  <si>
    <t>ORD100078</t>
  </si>
  <si>
    <t>CUST55382</t>
  </si>
  <si>
    <t>ORD100079</t>
  </si>
  <si>
    <t>CUST93000</t>
  </si>
  <si>
    <t>ORD100080</t>
  </si>
  <si>
    <t>CUST48785</t>
  </si>
  <si>
    <t>ORD100081</t>
  </si>
  <si>
    <t>CUST62504</t>
  </si>
  <si>
    <t>ORD100082</t>
  </si>
  <si>
    <t>CUST27331</t>
  </si>
  <si>
    <t>ORD100083</t>
  </si>
  <si>
    <t>CUST50021</t>
  </si>
  <si>
    <t>ORD100084</t>
  </si>
  <si>
    <t>CUST24207</t>
  </si>
  <si>
    <t>ORD100085</t>
  </si>
  <si>
    <t>CUST61347</t>
  </si>
  <si>
    <t>ORD100086</t>
  </si>
  <si>
    <t>CUST72581</t>
  </si>
  <si>
    <t>ORD100087</t>
  </si>
  <si>
    <t>CUST55093</t>
  </si>
  <si>
    <t>ORD100088</t>
  </si>
  <si>
    <t>CUST28675</t>
  </si>
  <si>
    <t>ORD100089</t>
  </si>
  <si>
    <t>CUST47653</t>
  </si>
  <si>
    <t>ORD100090</t>
  </si>
  <si>
    <t>CUST94341</t>
  </si>
  <si>
    <t>ORD100091</t>
  </si>
  <si>
    <t>CUST61245</t>
  </si>
  <si>
    <t>ORD100092</t>
  </si>
  <si>
    <t>CUST47869</t>
  </si>
  <si>
    <t>ORD100093</t>
  </si>
  <si>
    <t>CUST85435</t>
  </si>
  <si>
    <t>ORD100094</t>
  </si>
  <si>
    <t>CUST71856</t>
  </si>
  <si>
    <t>ORD100095</t>
  </si>
  <si>
    <t>CUST80142</t>
  </si>
  <si>
    <t>ORD100096</t>
  </si>
  <si>
    <t>CUST38726</t>
  </si>
  <si>
    <t>ORD100097</t>
  </si>
  <si>
    <t>CUST54718</t>
  </si>
  <si>
    <t>ORD100098</t>
  </si>
  <si>
    <t>CUST38301</t>
  </si>
  <si>
    <t>ORD100099</t>
  </si>
  <si>
    <t>CUST52325</t>
  </si>
  <si>
    <t>ORD100100</t>
  </si>
  <si>
    <t>CUST93579</t>
  </si>
  <si>
    <t>ORD100101</t>
  </si>
  <si>
    <t>CUST90644</t>
  </si>
  <si>
    <t>ORD100102</t>
  </si>
  <si>
    <t>CUST54438</t>
  </si>
  <si>
    <t>ORD100103</t>
  </si>
  <si>
    <t>CUST96622</t>
  </si>
  <si>
    <t>ORD100104</t>
  </si>
  <si>
    <t>CUST76155</t>
  </si>
  <si>
    <t>ORD100105</t>
  </si>
  <si>
    <t>CUST96484</t>
  </si>
  <si>
    <t>ORD100106</t>
  </si>
  <si>
    <t>CUST72350</t>
  </si>
  <si>
    <t>ORD100107</t>
  </si>
  <si>
    <t>CUST67447</t>
  </si>
  <si>
    <t>ORD100108</t>
  </si>
  <si>
    <t>CUST48746</t>
  </si>
  <si>
    <t>ORD100109</t>
  </si>
  <si>
    <t>CUST38131</t>
  </si>
  <si>
    <t>ORD100110</t>
  </si>
  <si>
    <t>CUST86784</t>
  </si>
  <si>
    <t>ORD100111</t>
  </si>
  <si>
    <t>CUST84686</t>
  </si>
  <si>
    <t>ORD100112</t>
  </si>
  <si>
    <t>CUST31915</t>
  </si>
  <si>
    <t>ORD100113</t>
  </si>
  <si>
    <t>CUST26175</t>
  </si>
  <si>
    <t>ORD100114</t>
  </si>
  <si>
    <t>CUST34371</t>
  </si>
  <si>
    <t>ORD100115</t>
  </si>
  <si>
    <t>CUST40033</t>
  </si>
  <si>
    <t>ORD100116</t>
  </si>
  <si>
    <t>CUST40969</t>
  </si>
  <si>
    <t>ORD100117</t>
  </si>
  <si>
    <t>CUST75333</t>
  </si>
  <si>
    <t>ORD100118</t>
  </si>
  <si>
    <t>CUST98172</t>
  </si>
  <si>
    <t>ORD100119</t>
  </si>
  <si>
    <t>CUST28326</t>
  </si>
  <si>
    <t>ORD100120</t>
  </si>
  <si>
    <t>CUST70432</t>
  </si>
  <si>
    <t>ORD100121</t>
  </si>
  <si>
    <t>CUST70019</t>
  </si>
  <si>
    <t>ORD100122</t>
  </si>
  <si>
    <t>CUST98104</t>
  </si>
  <si>
    <t>ORD100123</t>
  </si>
  <si>
    <t>CUST81348</t>
  </si>
  <si>
    <t>ORD100124</t>
  </si>
  <si>
    <t>CUST89352</t>
  </si>
  <si>
    <t>ORD100125</t>
  </si>
  <si>
    <t>CUST52953</t>
  </si>
  <si>
    <t>ORD100126</t>
  </si>
  <si>
    <t>CUST92512</t>
  </si>
  <si>
    <t>ORD100127</t>
  </si>
  <si>
    <t>CUST21504</t>
  </si>
  <si>
    <t>ORD100128</t>
  </si>
  <si>
    <t>CUST35014</t>
  </si>
  <si>
    <t>ORD100129</t>
  </si>
  <si>
    <t>CUST90381</t>
  </si>
  <si>
    <t>ORD100130</t>
  </si>
  <si>
    <t>CUST54973</t>
  </si>
  <si>
    <t>ORD100131</t>
  </si>
  <si>
    <t>CUST64587</t>
  </si>
  <si>
    <t>ORD100132</t>
  </si>
  <si>
    <t>CUST34621</t>
  </si>
  <si>
    <t>ORD100133</t>
  </si>
  <si>
    <t>CUST58469</t>
  </si>
  <si>
    <t>ORD100134</t>
  </si>
  <si>
    <t>CUST76985</t>
  </si>
  <si>
    <t>ORD100135</t>
  </si>
  <si>
    <t>CUST40730</t>
  </si>
  <si>
    <t>ORD100136</t>
  </si>
  <si>
    <t>CUST79470</t>
  </si>
  <si>
    <t>ORD100137</t>
  </si>
  <si>
    <t>CUST20425</t>
  </si>
  <si>
    <t>ORD100138</t>
  </si>
  <si>
    <t>CUST54522</t>
  </si>
  <si>
    <t>ORD100139</t>
  </si>
  <si>
    <t>CUST85612</t>
  </si>
  <si>
    <t>ORD100140</t>
  </si>
  <si>
    <t>CUST43416</t>
  </si>
  <si>
    <t>ORD100141</t>
  </si>
  <si>
    <t>CUST86542</t>
  </si>
  <si>
    <t>ORD100142</t>
  </si>
  <si>
    <t>CUST33947</t>
  </si>
  <si>
    <t>ORD100143</t>
  </si>
  <si>
    <t>CUST59117</t>
  </si>
  <si>
    <t>ORD100144</t>
  </si>
  <si>
    <t>CUST86540</t>
  </si>
  <si>
    <t>ORD100145</t>
  </si>
  <si>
    <t>CUST99818</t>
  </si>
  <si>
    <t>ORD100146</t>
  </si>
  <si>
    <t>CUST46071</t>
  </si>
  <si>
    <t>ORD100147</t>
  </si>
  <si>
    <t>CUST40032</t>
  </si>
  <si>
    <t>ORD100148</t>
  </si>
  <si>
    <t>CUST69009</t>
  </si>
  <si>
    <t>ORD100149</t>
  </si>
  <si>
    <t>CUST41174</t>
  </si>
  <si>
    <t>ORD100150</t>
  </si>
  <si>
    <t>CUST90697</t>
  </si>
  <si>
    <t>ORD100151</t>
  </si>
  <si>
    <t>CUST89514</t>
  </si>
  <si>
    <t>ORD100152</t>
  </si>
  <si>
    <t>CUST20074</t>
  </si>
  <si>
    <t>ORD100153</t>
  </si>
  <si>
    <t>CUST98504</t>
  </si>
  <si>
    <t>ORD100154</t>
  </si>
  <si>
    <t>CUST62487</t>
  </si>
  <si>
    <t>ORD100155</t>
  </si>
  <si>
    <t>CUST84042</t>
  </si>
  <si>
    <t>ORD100156</t>
  </si>
  <si>
    <t>CUST22552</t>
  </si>
  <si>
    <t>ORD100157</t>
  </si>
  <si>
    <t>CUST34662</t>
  </si>
  <si>
    <t>ORD100158</t>
  </si>
  <si>
    <t>CUST67576</t>
  </si>
  <si>
    <t>ORD100159</t>
  </si>
  <si>
    <t>CUST60306</t>
  </si>
  <si>
    <t>ORD100160</t>
  </si>
  <si>
    <t>CUST51385</t>
  </si>
  <si>
    <t>ORD100161</t>
  </si>
  <si>
    <t>CUST27592</t>
  </si>
  <si>
    <t>ORD100162</t>
  </si>
  <si>
    <t>CUST51571</t>
  </si>
  <si>
    <t>ORD100163</t>
  </si>
  <si>
    <t>CUST94364</t>
  </si>
  <si>
    <t>ORD100164</t>
  </si>
  <si>
    <t>CUST30322</t>
  </si>
  <si>
    <t>ORD100165</t>
  </si>
  <si>
    <t>CUST31226</t>
  </si>
  <si>
    <t>ORD100166</t>
  </si>
  <si>
    <t>CUST83699</t>
  </si>
  <si>
    <t>ORD100167</t>
  </si>
  <si>
    <t>CUST29071</t>
  </si>
  <si>
    <t>ORD100168</t>
  </si>
  <si>
    <t>CUST89822</t>
  </si>
  <si>
    <t>ORD100169</t>
  </si>
  <si>
    <t>CUST36483</t>
  </si>
  <si>
    <t>ORD100170</t>
  </si>
  <si>
    <t>CUST36828</t>
  </si>
  <si>
    <t>ORD100171</t>
  </si>
  <si>
    <t>CUST82296</t>
  </si>
  <si>
    <t>ORD100172</t>
  </si>
  <si>
    <t>CUST92063</t>
  </si>
  <si>
    <t>ORD100173</t>
  </si>
  <si>
    <t>CUST41643</t>
  </si>
  <si>
    <t>ORD100174</t>
  </si>
  <si>
    <t>CUST54741</t>
  </si>
  <si>
    <t>ORD100175</t>
  </si>
  <si>
    <t>CUST89163</t>
  </si>
  <si>
    <t>ORD100176</t>
  </si>
  <si>
    <t>CUST99507</t>
  </si>
  <si>
    <t>ORD100177</t>
  </si>
  <si>
    <t>CUST75461</t>
  </si>
  <si>
    <t>ORD100178</t>
  </si>
  <si>
    <t>CUST47760</t>
  </si>
  <si>
    <t>ORD100179</t>
  </si>
  <si>
    <t>CUST90686</t>
  </si>
  <si>
    <t>ORD100180</t>
  </si>
  <si>
    <t>CUST46365</t>
  </si>
  <si>
    <t>ORD100181</t>
  </si>
  <si>
    <t>CUST60857</t>
  </si>
  <si>
    <t>ORD100182</t>
  </si>
  <si>
    <t>CUST72296</t>
  </si>
  <si>
    <t>ORD100183</t>
  </si>
  <si>
    <t>CUST68944</t>
  </si>
  <si>
    <t>ORD100184</t>
  </si>
  <si>
    <t>CUST77422</t>
  </si>
  <si>
    <t>ORD100185</t>
  </si>
  <si>
    <t>CUST87839</t>
  </si>
  <si>
    <t>ORD100186</t>
  </si>
  <si>
    <t>CUST79177</t>
  </si>
  <si>
    <t>ORD100187</t>
  </si>
  <si>
    <t>CUST35860</t>
  </si>
  <si>
    <t>ORD100188</t>
  </si>
  <si>
    <t>CUST52493</t>
  </si>
  <si>
    <t>ORD100189</t>
  </si>
  <si>
    <t>CUST49451</t>
  </si>
  <si>
    <t>ORD100190</t>
  </si>
  <si>
    <t>CUST28392</t>
  </si>
  <si>
    <t>ORD100191</t>
  </si>
  <si>
    <t>CUST64313</t>
  </si>
  <si>
    <t>ORD100192</t>
  </si>
  <si>
    <t>CUST22757</t>
  </si>
  <si>
    <t>ORD100193</t>
  </si>
  <si>
    <t>CUST97110</t>
  </si>
  <si>
    <t>ORD100194</t>
  </si>
  <si>
    <t>CUST92603</t>
  </si>
  <si>
    <t>ORD100195</t>
  </si>
  <si>
    <t>CUST50161</t>
  </si>
  <si>
    <t>ORD100196</t>
  </si>
  <si>
    <t>CUST97128</t>
  </si>
  <si>
    <t>ORD100197</t>
  </si>
  <si>
    <t>CUST48864</t>
  </si>
  <si>
    <t>ORD100198</t>
  </si>
  <si>
    <t>CUST20942</t>
  </si>
  <si>
    <t>ORD100199</t>
  </si>
  <si>
    <t>CUST29305</t>
  </si>
  <si>
    <t>ORD100200</t>
  </si>
  <si>
    <t>CUST27716</t>
  </si>
  <si>
    <t>ORD100201</t>
  </si>
  <si>
    <t>CUST50007</t>
  </si>
  <si>
    <t>ORD100202</t>
  </si>
  <si>
    <t>CUST28834</t>
  </si>
  <si>
    <t>ORD100203</t>
  </si>
  <si>
    <t>CUST24117</t>
  </si>
  <si>
    <t>ORD100204</t>
  </si>
  <si>
    <t>CUST63309</t>
  </si>
  <si>
    <t>ORD100205</t>
  </si>
  <si>
    <t>CUST29287</t>
  </si>
  <si>
    <t>ORD100206</t>
  </si>
  <si>
    <t>CUST87391</t>
  </si>
  <si>
    <t>ORD100207</t>
  </si>
  <si>
    <t>CUST51195</t>
  </si>
  <si>
    <t>ORD100208</t>
  </si>
  <si>
    <t>CUST56500</t>
  </si>
  <si>
    <t>ORD100209</t>
  </si>
  <si>
    <t>CUST83624</t>
  </si>
  <si>
    <t>ORD100210</t>
  </si>
  <si>
    <t>CUST48080</t>
  </si>
  <si>
    <t>ORD100211</t>
  </si>
  <si>
    <t>CUST90678</t>
  </si>
  <si>
    <t>ORD100212</t>
  </si>
  <si>
    <t>CUST37342</t>
  </si>
  <si>
    <t>ORD100213</t>
  </si>
  <si>
    <t>CUST94847</t>
  </si>
  <si>
    <t>ORD100214</t>
  </si>
  <si>
    <t>CUST95525</t>
  </si>
  <si>
    <t>ORD100215</t>
  </si>
  <si>
    <t>CUST81953</t>
  </si>
  <si>
    <t>ORD100216</t>
  </si>
  <si>
    <t>CUST51850</t>
  </si>
  <si>
    <t>ORD100217</t>
  </si>
  <si>
    <t>CUST81993</t>
  </si>
  <si>
    <t>ORD100218</t>
  </si>
  <si>
    <t>CUST73354</t>
  </si>
  <si>
    <t>ORD100219</t>
  </si>
  <si>
    <t>CUST44957</t>
  </si>
  <si>
    <t>ORD100220</t>
  </si>
  <si>
    <t>CUST32363</t>
  </si>
  <si>
    <t>ORD100221</t>
  </si>
  <si>
    <t>CUST32704</t>
  </si>
  <si>
    <t>ORD100222</t>
  </si>
  <si>
    <t>CUST76498</t>
  </si>
  <si>
    <t>ORD100223</t>
  </si>
  <si>
    <t>CUST66438</t>
  </si>
  <si>
    <t>ORD100224</t>
  </si>
  <si>
    <t>CUST75519</t>
  </si>
  <si>
    <t>ORD100225</t>
  </si>
  <si>
    <t>CUST73883</t>
  </si>
  <si>
    <t>ORD100226</t>
  </si>
  <si>
    <t>CUST81213</t>
  </si>
  <si>
    <t>ORD100227</t>
  </si>
  <si>
    <t>CUST27100</t>
  </si>
  <si>
    <t>ORD100228</t>
  </si>
  <si>
    <t>CUST32899</t>
  </si>
  <si>
    <t>ORD100229</t>
  </si>
  <si>
    <t>CUST27944</t>
  </si>
  <si>
    <t>ORD100230</t>
  </si>
  <si>
    <t>CUST72772</t>
  </si>
  <si>
    <t>ORD100231</t>
  </si>
  <si>
    <t>CUST64473</t>
  </si>
  <si>
    <t>ORD100232</t>
  </si>
  <si>
    <t>CUST34322</t>
  </si>
  <si>
    <t>ORD100233</t>
  </si>
  <si>
    <t>CUST52591</t>
  </si>
  <si>
    <t>ORD100234</t>
  </si>
  <si>
    <t>CUST45112</t>
  </si>
  <si>
    <t>ORD100235</t>
  </si>
  <si>
    <t>CUST44931</t>
  </si>
  <si>
    <t>ORD100236</t>
  </si>
  <si>
    <t>CUST90292</t>
  </si>
  <si>
    <t>ORD100237</t>
  </si>
  <si>
    <t>CUST78800</t>
  </si>
  <si>
    <t>ORD100238</t>
  </si>
  <si>
    <t>CUST38373</t>
  </si>
  <si>
    <t>ORD100239</t>
  </si>
  <si>
    <t>CUST75296</t>
  </si>
  <si>
    <t>ORD100240</t>
  </si>
  <si>
    <t>CUST44050</t>
  </si>
  <si>
    <t>ORD100241</t>
  </si>
  <si>
    <t>CUST56509</t>
  </si>
  <si>
    <t>ORD100242</t>
  </si>
  <si>
    <t>CUST80637</t>
  </si>
  <si>
    <t>ORD100243</t>
  </si>
  <si>
    <t>CUST52742</t>
  </si>
  <si>
    <t>ORD100244</t>
  </si>
  <si>
    <t>CUST29880</t>
  </si>
  <si>
    <t>ORD100245</t>
  </si>
  <si>
    <t>CUST78082</t>
  </si>
  <si>
    <t>ORD100246</t>
  </si>
  <si>
    <t>CUST92132</t>
  </si>
  <si>
    <t>ORD100247</t>
  </si>
  <si>
    <t>CUST32833</t>
  </si>
  <si>
    <t>ORD100248</t>
  </si>
  <si>
    <t>CUST26630</t>
  </si>
  <si>
    <t>ORD100249</t>
  </si>
  <si>
    <t>CUST90855</t>
  </si>
  <si>
    <t>ORD100250</t>
  </si>
  <si>
    <t>CUST21934</t>
  </si>
  <si>
    <t>ORD100251</t>
  </si>
  <si>
    <t>CUST32224</t>
  </si>
  <si>
    <t>ORD100252</t>
  </si>
  <si>
    <t>CUST50982</t>
  </si>
  <si>
    <t>ORD100253</t>
  </si>
  <si>
    <t>CUST41798</t>
  </si>
  <si>
    <t>ORD100254</t>
  </si>
  <si>
    <t>CUST73269</t>
  </si>
  <si>
    <t>ORD100255</t>
  </si>
  <si>
    <t>CUST83653</t>
  </si>
  <si>
    <t>ORD100256</t>
  </si>
  <si>
    <t>CUST83092</t>
  </si>
  <si>
    <t>ORD100257</t>
  </si>
  <si>
    <t>CUST48016</t>
  </si>
  <si>
    <t>ORD100258</t>
  </si>
  <si>
    <t>CUST72565</t>
  </si>
  <si>
    <t>ORD100259</t>
  </si>
  <si>
    <t>CUST27685</t>
  </si>
  <si>
    <t>ORD100260</t>
  </si>
  <si>
    <t>CUST41579</t>
  </si>
  <si>
    <t>ORD100261</t>
  </si>
  <si>
    <t>CUST69672</t>
  </si>
  <si>
    <t>ORD100262</t>
  </si>
  <si>
    <t>CUST20282</t>
  </si>
  <si>
    <t>ORD100263</t>
  </si>
  <si>
    <t>CUST71173</t>
  </si>
  <si>
    <t>ORD100264</t>
  </si>
  <si>
    <t>CUST54760</t>
  </si>
  <si>
    <t>ORD100265</t>
  </si>
  <si>
    <t>CUST79638</t>
  </si>
  <si>
    <t>ORD100266</t>
  </si>
  <si>
    <t>CUST57388</t>
  </si>
  <si>
    <t>ORD100267</t>
  </si>
  <si>
    <t>CUST75444</t>
  </si>
  <si>
    <t>ORD100268</t>
  </si>
  <si>
    <t>CUST92845</t>
  </si>
  <si>
    <t>ORD100269</t>
  </si>
  <si>
    <t>CUST83788</t>
  </si>
  <si>
    <t>ORD100270</t>
  </si>
  <si>
    <t>CUST40289</t>
  </si>
  <si>
    <t>ORD100271</t>
  </si>
  <si>
    <t>CUST44890</t>
  </si>
  <si>
    <t>ORD100272</t>
  </si>
  <si>
    <t>CUST58890</t>
  </si>
  <si>
    <t>ORD100273</t>
  </si>
  <si>
    <t>CUST48534</t>
  </si>
  <si>
    <t>ORD100274</t>
  </si>
  <si>
    <t>CUST27665</t>
  </si>
  <si>
    <t>ORD100275</t>
  </si>
  <si>
    <t>CUST95914</t>
  </si>
  <si>
    <t>ORD100276</t>
  </si>
  <si>
    <t>CUST91066</t>
  </si>
  <si>
    <t>ORD100277</t>
  </si>
  <si>
    <t>CUST27989</t>
  </si>
  <si>
    <t>ORD100278</t>
  </si>
  <si>
    <t>CUST61104</t>
  </si>
  <si>
    <t>ORD100279</t>
  </si>
  <si>
    <t>CUST27492</t>
  </si>
  <si>
    <t>ORD100280</t>
  </si>
  <si>
    <t>CUST26572</t>
  </si>
  <si>
    <t>ORD100281</t>
  </si>
  <si>
    <t>CUST96569</t>
  </si>
  <si>
    <t>ORD100282</t>
  </si>
  <si>
    <t>CUST82493</t>
  </si>
  <si>
    <t>ORD100283</t>
  </si>
  <si>
    <t>CUST85909</t>
  </si>
  <si>
    <t>ORD100284</t>
  </si>
  <si>
    <t>CUST89615</t>
  </si>
  <si>
    <t>ORD100285</t>
  </si>
  <si>
    <t>CUST40635</t>
  </si>
  <si>
    <t>ORD100286</t>
  </si>
  <si>
    <t>CUST27455</t>
  </si>
  <si>
    <t>ORD100287</t>
  </si>
  <si>
    <t>CUST86562</t>
  </si>
  <si>
    <t>ORD100288</t>
  </si>
  <si>
    <t>CUST30500</t>
  </si>
  <si>
    <t>ORD100289</t>
  </si>
  <si>
    <t>CUST44356</t>
  </si>
  <si>
    <t>ORD100290</t>
  </si>
  <si>
    <t>CUST28981</t>
  </si>
  <si>
    <t>ORD100291</t>
  </si>
  <si>
    <t>CUST97992</t>
  </si>
  <si>
    <t>ORD100292</t>
  </si>
  <si>
    <t>CUST28907</t>
  </si>
  <si>
    <t>ORD100293</t>
  </si>
  <si>
    <t>CUST50828</t>
  </si>
  <si>
    <t>ORD100294</t>
  </si>
  <si>
    <t>CUST72923</t>
  </si>
  <si>
    <t>ORD100295</t>
  </si>
  <si>
    <t>CUST35713</t>
  </si>
  <si>
    <t>ORD100296</t>
  </si>
  <si>
    <t>CUST94668</t>
  </si>
  <si>
    <t>ORD100297</t>
  </si>
  <si>
    <t>CUST52271</t>
  </si>
  <si>
    <t>ORD100298</t>
  </si>
  <si>
    <t>CUST95880</t>
  </si>
  <si>
    <t>ORD100299</t>
  </si>
  <si>
    <t>CUST97924</t>
  </si>
  <si>
    <t>ORD100300</t>
  </si>
  <si>
    <t>CUST25209</t>
  </si>
  <si>
    <t>ORD100301</t>
  </si>
  <si>
    <t>CUST30745</t>
  </si>
  <si>
    <t>ORD100302</t>
  </si>
  <si>
    <t>CUST74948</t>
  </si>
  <si>
    <t>ORD100303</t>
  </si>
  <si>
    <t>CUST96503</t>
  </si>
  <si>
    <t>ORD100304</t>
  </si>
  <si>
    <t>CUST94085</t>
  </si>
  <si>
    <t>ORD100305</t>
  </si>
  <si>
    <t>CUST88522</t>
  </si>
  <si>
    <t>ORD100306</t>
  </si>
  <si>
    <t>CUST61467</t>
  </si>
  <si>
    <t>ORD100307</t>
  </si>
  <si>
    <t>CUST54179</t>
  </si>
  <si>
    <t>ORD100308</t>
  </si>
  <si>
    <t>CUST46772</t>
  </si>
  <si>
    <t>ORD100309</t>
  </si>
  <si>
    <t>CUST61180</t>
  </si>
  <si>
    <t>ORD100310</t>
  </si>
  <si>
    <t>CUST51285</t>
  </si>
  <si>
    <t>ORD100311</t>
  </si>
  <si>
    <t>CUST54814</t>
  </si>
  <si>
    <t>ORD100312</t>
  </si>
  <si>
    <t>CUST71876</t>
  </si>
  <si>
    <t>ORD100313</t>
  </si>
  <si>
    <t>CUST37154</t>
  </si>
  <si>
    <t>ORD100314</t>
  </si>
  <si>
    <t>CUST59321</t>
  </si>
  <si>
    <t>ORD100315</t>
  </si>
  <si>
    <t>CUST79929</t>
  </si>
  <si>
    <t>ORD100316</t>
  </si>
  <si>
    <t>CUST61441</t>
  </si>
  <si>
    <t>ORD100317</t>
  </si>
  <si>
    <t>CUST29508</t>
  </si>
  <si>
    <t>ORD100318</t>
  </si>
  <si>
    <t>CUST21220</t>
  </si>
  <si>
    <t>ORD100319</t>
  </si>
  <si>
    <t>CUST80068</t>
  </si>
  <si>
    <t>ORD100320</t>
  </si>
  <si>
    <t>CUST93792</t>
  </si>
  <si>
    <t>ORD100321</t>
  </si>
  <si>
    <t>CUST33104</t>
  </si>
  <si>
    <t>ORD100322</t>
  </si>
  <si>
    <t>CUST29602</t>
  </si>
  <si>
    <t>ORD100323</t>
  </si>
  <si>
    <t>CUST90468</t>
  </si>
  <si>
    <t>ORD100324</t>
  </si>
  <si>
    <t>CUST47938</t>
  </si>
  <si>
    <t>ORD100325</t>
  </si>
  <si>
    <t>CUST86307</t>
  </si>
  <si>
    <t>ORD100326</t>
  </si>
  <si>
    <t>ORD100327</t>
  </si>
  <si>
    <t>CUST37361</t>
  </si>
  <si>
    <t>ORD100328</t>
  </si>
  <si>
    <t>CUST65745</t>
  </si>
  <si>
    <t>ORD100329</t>
  </si>
  <si>
    <t>CUST29016</t>
  </si>
  <si>
    <t>ORD100330</t>
  </si>
  <si>
    <t>CUST52018</t>
  </si>
  <si>
    <t>ORD100331</t>
  </si>
  <si>
    <t>CUST68434</t>
  </si>
  <si>
    <t>ORD100332</t>
  </si>
  <si>
    <t>CUST57353</t>
  </si>
  <si>
    <t>ORD100333</t>
  </si>
  <si>
    <t>CUST40676</t>
  </si>
  <si>
    <t>ORD100334</t>
  </si>
  <si>
    <t>CUST77433</t>
  </si>
  <si>
    <t>ORD100335</t>
  </si>
  <si>
    <t>CUST91200</t>
  </si>
  <si>
    <t>ORD100336</t>
  </si>
  <si>
    <t>CUST59651</t>
  </si>
  <si>
    <t>ORD100337</t>
  </si>
  <si>
    <t>CUST89329</t>
  </si>
  <si>
    <t>ORD100338</t>
  </si>
  <si>
    <t>CUST21025</t>
  </si>
  <si>
    <t>ORD100339</t>
  </si>
  <si>
    <t>CUST92692</t>
  </si>
  <si>
    <t>ORD100340</t>
  </si>
  <si>
    <t>CUST59240</t>
  </si>
  <si>
    <t>ORD100341</t>
  </si>
  <si>
    <t>CUST33577</t>
  </si>
  <si>
    <t>ORD100342</t>
  </si>
  <si>
    <t>CUST37601</t>
  </si>
  <si>
    <t>ORD100343</t>
  </si>
  <si>
    <t>CUST54664</t>
  </si>
  <si>
    <t>ORD100344</t>
  </si>
  <si>
    <t>CUST35129</t>
  </si>
  <si>
    <t>ORD100345</t>
  </si>
  <si>
    <t>CUST34029</t>
  </si>
  <si>
    <t>ORD100346</t>
  </si>
  <si>
    <t>ORD100347</t>
  </si>
  <si>
    <t>CUST40374</t>
  </si>
  <si>
    <t>ORD100348</t>
  </si>
  <si>
    <t>CUST55697</t>
  </si>
  <si>
    <t>ORD100349</t>
  </si>
  <si>
    <t>CUST56930</t>
  </si>
  <si>
    <t>ORD100350</t>
  </si>
  <si>
    <t>CUST99276</t>
  </si>
  <si>
    <t>ORD100351</t>
  </si>
  <si>
    <t>CUST47607</t>
  </si>
  <si>
    <t>ORD100352</t>
  </si>
  <si>
    <t>CUST64942</t>
  </si>
  <si>
    <t>ORD100353</t>
  </si>
  <si>
    <t>CUST46685</t>
  </si>
  <si>
    <t>ORD100354</t>
  </si>
  <si>
    <t>CUST54600</t>
  </si>
  <si>
    <t>ORD100355</t>
  </si>
  <si>
    <t>CUST86244</t>
  </si>
  <si>
    <t>ORD100356</t>
  </si>
  <si>
    <t>CUST84032</t>
  </si>
  <si>
    <t>ORD100357</t>
  </si>
  <si>
    <t>CUST52914</t>
  </si>
  <si>
    <t>ORD100358</t>
  </si>
  <si>
    <t>CUST26658</t>
  </si>
  <si>
    <t>ORD100359</t>
  </si>
  <si>
    <t>CUST32097</t>
  </si>
  <si>
    <t>ORD100360</t>
  </si>
  <si>
    <t>CUST75518</t>
  </si>
  <si>
    <t>ORD100361</t>
  </si>
  <si>
    <t>CUST56265</t>
  </si>
  <si>
    <t>ORD100362</t>
  </si>
  <si>
    <t>CUST25778</t>
  </si>
  <si>
    <t>ORD100363</t>
  </si>
  <si>
    <t>CUST20464</t>
  </si>
  <si>
    <t>ORD100364</t>
  </si>
  <si>
    <t>CUST63719</t>
  </si>
  <si>
    <t>ORD100365</t>
  </si>
  <si>
    <t>CUST37146</t>
  </si>
  <si>
    <t>ORD100366</t>
  </si>
  <si>
    <t>CUST54335</t>
  </si>
  <si>
    <t>ORD100367</t>
  </si>
  <si>
    <t>CUST41178</t>
  </si>
  <si>
    <t>ORD100368</t>
  </si>
  <si>
    <t>CUST77912</t>
  </si>
  <si>
    <t>ORD100369</t>
  </si>
  <si>
    <t>CUST92309</t>
  </si>
  <si>
    <t>ORD100370</t>
  </si>
  <si>
    <t>CUST76057</t>
  </si>
  <si>
    <t>ORD100371</t>
  </si>
  <si>
    <t>CUST93519</t>
  </si>
  <si>
    <t>ORD100372</t>
  </si>
  <si>
    <t>CUST21267</t>
  </si>
  <si>
    <t>ORD100373</t>
  </si>
  <si>
    <t>CUST34663</t>
  </si>
  <si>
    <t>ORD100374</t>
  </si>
  <si>
    <t>CUST29862</t>
  </si>
  <si>
    <t>ORD100375</t>
  </si>
  <si>
    <t>CUST39536</t>
  </si>
  <si>
    <t>ORD100376</t>
  </si>
  <si>
    <t>CUST91511</t>
  </si>
  <si>
    <t>ORD100377</t>
  </si>
  <si>
    <t>CUST24722</t>
  </si>
  <si>
    <t>ORD100378</t>
  </si>
  <si>
    <t>CUST68393</t>
  </si>
  <si>
    <t>ORD100379</t>
  </si>
  <si>
    <t>CUST96350</t>
  </si>
  <si>
    <t>ORD100380</t>
  </si>
  <si>
    <t>CUST92420</t>
  </si>
  <si>
    <t>ORD100381</t>
  </si>
  <si>
    <t>CUST39410</t>
  </si>
  <si>
    <t>ORD100382</t>
  </si>
  <si>
    <t>CUST76333</t>
  </si>
  <si>
    <t>ORD100383</t>
  </si>
  <si>
    <t>CUST36704</t>
  </si>
  <si>
    <t>ORD100384</t>
  </si>
  <si>
    <t>CUST25482</t>
  </si>
  <si>
    <t>ORD100385</t>
  </si>
  <si>
    <t>CUST60404</t>
  </si>
  <si>
    <t>ORD100386</t>
  </si>
  <si>
    <t>CUST67795</t>
  </si>
  <si>
    <t>ORD100387</t>
  </si>
  <si>
    <t>CUST25229</t>
  </si>
  <si>
    <t>ORD100388</t>
  </si>
  <si>
    <t>CUST66898</t>
  </si>
  <si>
    <t>ORD100389</t>
  </si>
  <si>
    <t>CUST47535</t>
  </si>
  <si>
    <t>ORD100390</t>
  </si>
  <si>
    <t>CUST52706</t>
  </si>
  <si>
    <t>ORD100391</t>
  </si>
  <si>
    <t>CUST33473</t>
  </si>
  <si>
    <t>ORD100392</t>
  </si>
  <si>
    <t>CUST66357</t>
  </si>
  <si>
    <t>ORD100393</t>
  </si>
  <si>
    <t>CUST93385</t>
  </si>
  <si>
    <t>ORD100394</t>
  </si>
  <si>
    <t>CUST73264</t>
  </si>
  <si>
    <t>ORD100395</t>
  </si>
  <si>
    <t>CUST40257</t>
  </si>
  <si>
    <t>ORD100396</t>
  </si>
  <si>
    <t>CUST51029</t>
  </si>
  <si>
    <t>ORD100397</t>
  </si>
  <si>
    <t>CUST41299</t>
  </si>
  <si>
    <t>ORD100398</t>
  </si>
  <si>
    <t>CUST43206</t>
  </si>
  <si>
    <t>ORD100399</t>
  </si>
  <si>
    <t>CUST74040</t>
  </si>
  <si>
    <t>ORD100400</t>
  </si>
  <si>
    <t>CUST23248</t>
  </si>
  <si>
    <t>ORD100401</t>
  </si>
  <si>
    <t>CUST43509</t>
  </si>
  <si>
    <t>ORD100402</t>
  </si>
  <si>
    <t>CUST63540</t>
  </si>
  <si>
    <t>ORD100403</t>
  </si>
  <si>
    <t>CUST73964</t>
  </si>
  <si>
    <t>ORD100404</t>
  </si>
  <si>
    <t>CUST52527</t>
  </si>
  <si>
    <t>ORD100405</t>
  </si>
  <si>
    <t>CUST54970</t>
  </si>
  <si>
    <t>ORD100406</t>
  </si>
  <si>
    <t>CUST40866</t>
  </si>
  <si>
    <t>ORD100407</t>
  </si>
  <si>
    <t>CUST34168</t>
  </si>
  <si>
    <t>ORD100408</t>
  </si>
  <si>
    <t>CUST70140</t>
  </si>
  <si>
    <t>ORD100409</t>
  </si>
  <si>
    <t>CUST25075</t>
  </si>
  <si>
    <t>ORD100410</t>
  </si>
  <si>
    <t>CUST81694</t>
  </si>
  <si>
    <t>ORD100411</t>
  </si>
  <si>
    <t>CUST49154</t>
  </si>
  <si>
    <t>ORD100412</t>
  </si>
  <si>
    <t>CUST46158</t>
  </si>
  <si>
    <t>ORD100413</t>
  </si>
  <si>
    <t>CUST80332</t>
  </si>
  <si>
    <t>ORD100414</t>
  </si>
  <si>
    <t>CUST65830</t>
  </si>
  <si>
    <t>ORD100415</t>
  </si>
  <si>
    <t>CUST60001</t>
  </si>
  <si>
    <t>ORD100416</t>
  </si>
  <si>
    <t>CUST49831</t>
  </si>
  <si>
    <t>ORD100417</t>
  </si>
  <si>
    <t>CUST49219</t>
  </si>
  <si>
    <t>ORD100418</t>
  </si>
  <si>
    <t>CUST23101</t>
  </si>
  <si>
    <t>ORD100419</t>
  </si>
  <si>
    <t>CUST45313</t>
  </si>
  <si>
    <t>ORD100420</t>
  </si>
  <si>
    <t>CUST72227</t>
  </si>
  <si>
    <t>ORD100421</t>
  </si>
  <si>
    <t>CUST63025</t>
  </si>
  <si>
    <t>ORD100422</t>
  </si>
  <si>
    <t>CUST56517</t>
  </si>
  <si>
    <t>ORD100423</t>
  </si>
  <si>
    <t>CUST29099</t>
  </si>
  <si>
    <t>ORD100424</t>
  </si>
  <si>
    <t>CUST56585</t>
  </si>
  <si>
    <t>ORD100425</t>
  </si>
  <si>
    <t>CUST66025</t>
  </si>
  <si>
    <t>ORD100426</t>
  </si>
  <si>
    <t>CUST86768</t>
  </si>
  <si>
    <t>ORD100427</t>
  </si>
  <si>
    <t>CUST72386</t>
  </si>
  <si>
    <t>ORD100428</t>
  </si>
  <si>
    <t>CUST90282</t>
  </si>
  <si>
    <t>ORD100429</t>
  </si>
  <si>
    <t>CUST63404</t>
  </si>
  <si>
    <t>ORD100430</t>
  </si>
  <si>
    <t>CUST23617</t>
  </si>
  <si>
    <t>ORD100431</t>
  </si>
  <si>
    <t>CUST35118</t>
  </si>
  <si>
    <t>ORD100432</t>
  </si>
  <si>
    <t>CUST54237</t>
  </si>
  <si>
    <t>ORD100433</t>
  </si>
  <si>
    <t>CUST43405</t>
  </si>
  <si>
    <t>ORD100434</t>
  </si>
  <si>
    <t>CUST96099</t>
  </si>
  <si>
    <t>ORD100435</t>
  </si>
  <si>
    <t>CUST54795</t>
  </si>
  <si>
    <t>ORD100436</t>
  </si>
  <si>
    <t>CUST25014</t>
  </si>
  <si>
    <t>ORD100437</t>
  </si>
  <si>
    <t>CUST34208</t>
  </si>
  <si>
    <t>ORD100438</t>
  </si>
  <si>
    <t>CUST98193</t>
  </si>
  <si>
    <t>ORD100439</t>
  </si>
  <si>
    <t>CUST76959</t>
  </si>
  <si>
    <t>ORD100440</t>
  </si>
  <si>
    <t>CUST65309</t>
  </si>
  <si>
    <t>ORD100441</t>
  </si>
  <si>
    <t>CUST61114</t>
  </si>
  <si>
    <t>ORD100442</t>
  </si>
  <si>
    <t>CUST77199</t>
  </si>
  <si>
    <t>ORD100443</t>
  </si>
  <si>
    <t>CUST99457</t>
  </si>
  <si>
    <t>ORD100444</t>
  </si>
  <si>
    <t>CUST87033</t>
  </si>
  <si>
    <t>ORD100445</t>
  </si>
  <si>
    <t>CUST35157</t>
  </si>
  <si>
    <t>ORD100446</t>
  </si>
  <si>
    <t>CUST70488</t>
  </si>
  <si>
    <t>ORD100447</t>
  </si>
  <si>
    <t>CUST95574</t>
  </si>
  <si>
    <t>ORD100448</t>
  </si>
  <si>
    <t>CUST44914</t>
  </si>
  <si>
    <t>ORD100449</t>
  </si>
  <si>
    <t>CUST53386</t>
  </si>
  <si>
    <t>ORD100450</t>
  </si>
  <si>
    <t>CUST25817</t>
  </si>
  <si>
    <t>ORD100451</t>
  </si>
  <si>
    <t>CUST77154</t>
  </si>
  <si>
    <t>ORD100452</t>
  </si>
  <si>
    <t>CUST20221</t>
  </si>
  <si>
    <t>ORD100453</t>
  </si>
  <si>
    <t>CUST88146</t>
  </si>
  <si>
    <t>ORD100454</t>
  </si>
  <si>
    <t>CUST90575</t>
  </si>
  <si>
    <t>ORD100455</t>
  </si>
  <si>
    <t>CUST45825</t>
  </si>
  <si>
    <t>ORD100456</t>
  </si>
  <si>
    <t>CUST67739</t>
  </si>
  <si>
    <t>ORD100457</t>
  </si>
  <si>
    <t>CUST76531</t>
  </si>
  <si>
    <t>ORD100458</t>
  </si>
  <si>
    <t>CUST29171</t>
  </si>
  <si>
    <t>ORD100459</t>
  </si>
  <si>
    <t>CUST63279</t>
  </si>
  <si>
    <t>ORD100460</t>
  </si>
  <si>
    <t>CUST61145</t>
  </si>
  <si>
    <t>ORD100461</t>
  </si>
  <si>
    <t>CUST36334</t>
  </si>
  <si>
    <t>ORD100462</t>
  </si>
  <si>
    <t>CUST59363</t>
  </si>
  <si>
    <t>ORD100463</t>
  </si>
  <si>
    <t>CUST86469</t>
  </si>
  <si>
    <t>ORD100464</t>
  </si>
  <si>
    <t>CUST60538</t>
  </si>
  <si>
    <t>ORD100465</t>
  </si>
  <si>
    <t>CUST73528</t>
  </si>
  <si>
    <t>ORD100466</t>
  </si>
  <si>
    <t>CUST62753</t>
  </si>
  <si>
    <t>ORD100467</t>
  </si>
  <si>
    <t>CUST72743</t>
  </si>
  <si>
    <t>ORD100468</t>
  </si>
  <si>
    <t>CUST58752</t>
  </si>
  <si>
    <t>ORD100469</t>
  </si>
  <si>
    <t>CUST92667</t>
  </si>
  <si>
    <t>ORD100470</t>
  </si>
  <si>
    <t>CUST36683</t>
  </si>
  <si>
    <t>ORD100471</t>
  </si>
  <si>
    <t>CUST45144</t>
  </si>
  <si>
    <t>ORD100472</t>
  </si>
  <si>
    <t>CUST75108</t>
  </si>
  <si>
    <t>ORD100473</t>
  </si>
  <si>
    <t>CUST69695</t>
  </si>
  <si>
    <t>ORD100474</t>
  </si>
  <si>
    <t>CUST42810</t>
  </si>
  <si>
    <t>ORD100475</t>
  </si>
  <si>
    <t>CUST94593</t>
  </si>
  <si>
    <t>ORD100476</t>
  </si>
  <si>
    <t>CUST59446</t>
  </si>
  <si>
    <t>ORD100477</t>
  </si>
  <si>
    <t>CUST73225</t>
  </si>
  <si>
    <t>ORD100478</t>
  </si>
  <si>
    <t>CUST91819</t>
  </si>
  <si>
    <t>ORD100479</t>
  </si>
  <si>
    <t>CUST20053</t>
  </si>
  <si>
    <t>ORD100480</t>
  </si>
  <si>
    <t>CUST59829</t>
  </si>
  <si>
    <t>ORD100481</t>
  </si>
  <si>
    <t>CUST57606</t>
  </si>
  <si>
    <t>ORD100482</t>
  </si>
  <si>
    <t>CUST47549</t>
  </si>
  <si>
    <t>ORD100483</t>
  </si>
  <si>
    <t>CUST76346</t>
  </si>
  <si>
    <t>ORD100484</t>
  </si>
  <si>
    <t>CUST96019</t>
  </si>
  <si>
    <t>ORD100485</t>
  </si>
  <si>
    <t>CUST99516</t>
  </si>
  <si>
    <t>ORD100486</t>
  </si>
  <si>
    <t>CUST62237</t>
  </si>
  <si>
    <t>ORD100487</t>
  </si>
  <si>
    <t>CUST80946</t>
  </si>
  <si>
    <t>ORD100488</t>
  </si>
  <si>
    <t>CUST77905</t>
  </si>
  <si>
    <t>ORD100489</t>
  </si>
  <si>
    <t>CUST77954</t>
  </si>
  <si>
    <t>ORD100490</t>
  </si>
  <si>
    <t>CUST48010</t>
  </si>
  <si>
    <t>ORD100491</t>
  </si>
  <si>
    <t>CUST87000</t>
  </si>
  <si>
    <t>ORD100492</t>
  </si>
  <si>
    <t>CUST82021</t>
  </si>
  <si>
    <t>ORD100493</t>
  </si>
  <si>
    <t>CUST42241</t>
  </si>
  <si>
    <t>ORD100494</t>
  </si>
  <si>
    <t>CUST31114</t>
  </si>
  <si>
    <t>ORD100495</t>
  </si>
  <si>
    <t>CUST57196</t>
  </si>
  <si>
    <t>ORD100496</t>
  </si>
  <si>
    <t>CUST87561</t>
  </si>
  <si>
    <t>ORD100497</t>
  </si>
  <si>
    <t>CUST63933</t>
  </si>
  <si>
    <t>ORD100498</t>
  </si>
  <si>
    <t>CUST32240</t>
  </si>
  <si>
    <t>ORD100499</t>
  </si>
  <si>
    <t>CUST50784</t>
  </si>
  <si>
    <t>ORD100500</t>
  </si>
  <si>
    <t>CUST60687</t>
  </si>
  <si>
    <t>ORD100501</t>
  </si>
  <si>
    <t>CUST49444</t>
  </si>
  <si>
    <t>ORD100502</t>
  </si>
  <si>
    <t>CUST46100</t>
  </si>
  <si>
    <t>ORD100503</t>
  </si>
  <si>
    <t>CUST39313</t>
  </si>
  <si>
    <t>ORD100504</t>
  </si>
  <si>
    <t>CUST23201</t>
  </si>
  <si>
    <t>ORD100505</t>
  </si>
  <si>
    <t>CUST26057</t>
  </si>
  <si>
    <t>ORD100506</t>
  </si>
  <si>
    <t>CUST52092</t>
  </si>
  <si>
    <t>ORD100507</t>
  </si>
  <si>
    <t>CUST82277</t>
  </si>
  <si>
    <t>ORD100508</t>
  </si>
  <si>
    <t>CUST29545</t>
  </si>
  <si>
    <t>ORD100509</t>
  </si>
  <si>
    <t>CUST79692</t>
  </si>
  <si>
    <t>ORD100510</t>
  </si>
  <si>
    <t>CUST74321</t>
  </si>
  <si>
    <t>ORD100511</t>
  </si>
  <si>
    <t>CUST95454</t>
  </si>
  <si>
    <t>ORD100512</t>
  </si>
  <si>
    <t>CUST45485</t>
  </si>
  <si>
    <t>ORD100513</t>
  </si>
  <si>
    <t>CUST70328</t>
  </si>
  <si>
    <t>ORD100514</t>
  </si>
  <si>
    <t>CUST84799</t>
  </si>
  <si>
    <t>ORD100515</t>
  </si>
  <si>
    <t>CUST72383</t>
  </si>
  <si>
    <t>ORD100516</t>
  </si>
  <si>
    <t>CUST51979</t>
  </si>
  <si>
    <t>ORD100517</t>
  </si>
  <si>
    <t>CUST39342</t>
  </si>
  <si>
    <t>ORD100518</t>
  </si>
  <si>
    <t>CUST20726</t>
  </si>
  <si>
    <t>ORD100519</t>
  </si>
  <si>
    <t>CUST33970</t>
  </si>
  <si>
    <t>ORD100520</t>
  </si>
  <si>
    <t>CUST75724</t>
  </si>
  <si>
    <t>ORD100521</t>
  </si>
  <si>
    <t>CUST48683</t>
  </si>
  <si>
    <t>ORD100522</t>
  </si>
  <si>
    <t>CUST43053</t>
  </si>
  <si>
    <t>ORD100523</t>
  </si>
  <si>
    <t>CUST87889</t>
  </si>
  <si>
    <t>ORD100524</t>
  </si>
  <si>
    <t>CUST80889</t>
  </si>
  <si>
    <t>ORD100525</t>
  </si>
  <si>
    <t>CUST26582</t>
  </si>
  <si>
    <t>ORD100526</t>
  </si>
  <si>
    <t>CUST93060</t>
  </si>
  <si>
    <t>ORD100527</t>
  </si>
  <si>
    <t>CUST52662</t>
  </si>
  <si>
    <t>ORD100528</t>
  </si>
  <si>
    <t>CUST35906</t>
  </si>
  <si>
    <t>ORD100529</t>
  </si>
  <si>
    <t>CUST79829</t>
  </si>
  <si>
    <t>ORD100530</t>
  </si>
  <si>
    <t>CUST37477</t>
  </si>
  <si>
    <t>ORD100531</t>
  </si>
  <si>
    <t>CUST80901</t>
  </si>
  <si>
    <t>ORD100532</t>
  </si>
  <si>
    <t>CUST89616</t>
  </si>
  <si>
    <t>ORD100533</t>
  </si>
  <si>
    <t>CUST93259</t>
  </si>
  <si>
    <t>ORD100534</t>
  </si>
  <si>
    <t>CUST98047</t>
  </si>
  <si>
    <t>ORD100535</t>
  </si>
  <si>
    <t>CUST61588</t>
  </si>
  <si>
    <t>ORD100536</t>
  </si>
  <si>
    <t>CUST78008</t>
  </si>
  <si>
    <t>ORD100537</t>
  </si>
  <si>
    <t>CUST86162</t>
  </si>
  <si>
    <t>ORD100538</t>
  </si>
  <si>
    <t>CUST75933</t>
  </si>
  <si>
    <t>ORD100539</t>
  </si>
  <si>
    <t>CUST91810</t>
  </si>
  <si>
    <t>ORD100540</t>
  </si>
  <si>
    <t>CUST78446</t>
  </si>
  <si>
    <t>ORD100541</t>
  </si>
  <si>
    <t>CUST40861</t>
  </si>
  <si>
    <t>ORD100542</t>
  </si>
  <si>
    <t>CUST82216</t>
  </si>
  <si>
    <t>ORD100543</t>
  </si>
  <si>
    <t>CUST78991</t>
  </si>
  <si>
    <t>ORD100544</t>
  </si>
  <si>
    <t>CUST53972</t>
  </si>
  <si>
    <t>ORD100545</t>
  </si>
  <si>
    <t>CUST52406</t>
  </si>
  <si>
    <t>ORD100546</t>
  </si>
  <si>
    <t>CUST56347</t>
  </si>
  <si>
    <t>ORD100547</t>
  </si>
  <si>
    <t>CUST88327</t>
  </si>
  <si>
    <t>ORD100548</t>
  </si>
  <si>
    <t>CUST83517</t>
  </si>
  <si>
    <t>ORD100549</t>
  </si>
  <si>
    <t>CUST51358</t>
  </si>
  <si>
    <t>ORD100550</t>
  </si>
  <si>
    <t>CUST55992</t>
  </si>
  <si>
    <t>ORD100551</t>
  </si>
  <si>
    <t>CUST77654</t>
  </si>
  <si>
    <t>ORD100552</t>
  </si>
  <si>
    <t>CUST30155</t>
  </si>
  <si>
    <t>ORD100553</t>
  </si>
  <si>
    <t>CUST57450</t>
  </si>
  <si>
    <t>ORD100554</t>
  </si>
  <si>
    <t>CUST50735</t>
  </si>
  <si>
    <t>ORD100555</t>
  </si>
  <si>
    <t>CUST55614</t>
  </si>
  <si>
    <t>ORD100556</t>
  </si>
  <si>
    <t>CUST64020</t>
  </si>
  <si>
    <t>ORD100557</t>
  </si>
  <si>
    <t>CUST61904</t>
  </si>
  <si>
    <t>ORD100558</t>
  </si>
  <si>
    <t>CUST90798</t>
  </si>
  <si>
    <t>ORD100559</t>
  </si>
  <si>
    <t>CUST30561</t>
  </si>
  <si>
    <t>ORD100560</t>
  </si>
  <si>
    <t>CUST38136</t>
  </si>
  <si>
    <t>ORD100561</t>
  </si>
  <si>
    <t>CUST39769</t>
  </si>
  <si>
    <t>ORD100562</t>
  </si>
  <si>
    <t>CUST50311</t>
  </si>
  <si>
    <t>ORD100563</t>
  </si>
  <si>
    <t>CUST70205</t>
  </si>
  <si>
    <t>ORD100564</t>
  </si>
  <si>
    <t>CUST40028</t>
  </si>
  <si>
    <t>ORD100565</t>
  </si>
  <si>
    <t>CUST48043</t>
  </si>
  <si>
    <t>ORD100566</t>
  </si>
  <si>
    <t>CUST28418</t>
  </si>
  <si>
    <t>ORD100567</t>
  </si>
  <si>
    <t>CUST74377</t>
  </si>
  <si>
    <t>ORD100568</t>
  </si>
  <si>
    <t>CUST73424</t>
  </si>
  <si>
    <t>ORD100569</t>
  </si>
  <si>
    <t>CUST63369</t>
  </si>
  <si>
    <t>ORD100570</t>
  </si>
  <si>
    <t>CUST91121</t>
  </si>
  <si>
    <t>ORD100571</t>
  </si>
  <si>
    <t>CUST81069</t>
  </si>
  <si>
    <t>ORD100572</t>
  </si>
  <si>
    <t>CUST74496</t>
  </si>
  <si>
    <t>ORD100573</t>
  </si>
  <si>
    <t>CUST28161</t>
  </si>
  <si>
    <t>ORD100574</t>
  </si>
  <si>
    <t>CUST47110</t>
  </si>
  <si>
    <t>ORD100575</t>
  </si>
  <si>
    <t>CUST75069</t>
  </si>
  <si>
    <t>ORD100576</t>
  </si>
  <si>
    <t>CUST71049</t>
  </si>
  <si>
    <t>ORD100577</t>
  </si>
  <si>
    <t>CUST96556</t>
  </si>
  <si>
    <t>ORD100578</t>
  </si>
  <si>
    <t>CUST22560</t>
  </si>
  <si>
    <t>ORD100579</t>
  </si>
  <si>
    <t>CUST95456</t>
  </si>
  <si>
    <t>ORD100580</t>
  </si>
  <si>
    <t>CUST69857</t>
  </si>
  <si>
    <t>ORD100581</t>
  </si>
  <si>
    <t>CUST82518</t>
  </si>
  <si>
    <t>ORD100582</t>
  </si>
  <si>
    <t>CUST20772</t>
  </si>
  <si>
    <t>ORD100583</t>
  </si>
  <si>
    <t>CUST66105</t>
  </si>
  <si>
    <t>ORD100584</t>
  </si>
  <si>
    <t>CUST59139</t>
  </si>
  <si>
    <t>ORD100585</t>
  </si>
  <si>
    <t>CUST71116</t>
  </si>
  <si>
    <t>ORD100586</t>
  </si>
  <si>
    <t>CUST74921</t>
  </si>
  <si>
    <t>ORD100587</t>
  </si>
  <si>
    <t>CUST90545</t>
  </si>
  <si>
    <t>ORD100588</t>
  </si>
  <si>
    <t>CUST91582</t>
  </si>
  <si>
    <t>ORD100589</t>
  </si>
  <si>
    <t>CUST99069</t>
  </si>
  <si>
    <t>ORD100590</t>
  </si>
  <si>
    <t>CUST48906</t>
  </si>
  <si>
    <t>ORD100591</t>
  </si>
  <si>
    <t>CUST83993</t>
  </si>
  <si>
    <t>ORD100592</t>
  </si>
  <si>
    <t>CUST48760</t>
  </si>
  <si>
    <t>ORD100593</t>
  </si>
  <si>
    <t>CUST55774</t>
  </si>
  <si>
    <t>ORD100594</t>
  </si>
  <si>
    <t>CUST77125</t>
  </si>
  <si>
    <t>ORD100595</t>
  </si>
  <si>
    <t>CUST83654</t>
  </si>
  <si>
    <t>ORD100596</t>
  </si>
  <si>
    <t>CUST23804</t>
  </si>
  <si>
    <t>ORD100597</t>
  </si>
  <si>
    <t>CUST70968</t>
  </si>
  <si>
    <t>ORD100598</t>
  </si>
  <si>
    <t>CUST64057</t>
  </si>
  <si>
    <t>ORD100599</t>
  </si>
  <si>
    <t>CUST72994</t>
  </si>
  <si>
    <t>ORD100600</t>
  </si>
  <si>
    <t>CUST41632</t>
  </si>
  <si>
    <t>ORD100601</t>
  </si>
  <si>
    <t>CUST81261</t>
  </si>
  <si>
    <t>ORD100602</t>
  </si>
  <si>
    <t>CUST36728</t>
  </si>
  <si>
    <t>ORD100603</t>
  </si>
  <si>
    <t>CUST90008</t>
  </si>
  <si>
    <t>ORD100604</t>
  </si>
  <si>
    <t>CUST23534</t>
  </si>
  <si>
    <t>ORD100605</t>
  </si>
  <si>
    <t>CUST71645</t>
  </si>
  <si>
    <t>ORD100606</t>
  </si>
  <si>
    <t>CUST97580</t>
  </si>
  <si>
    <t>ORD100607</t>
  </si>
  <si>
    <t>CUST93975</t>
  </si>
  <si>
    <t>ORD100608</t>
  </si>
  <si>
    <t>CUST23552</t>
  </si>
  <si>
    <t>ORD100609</t>
  </si>
  <si>
    <t>CUST31003</t>
  </si>
  <si>
    <t>ORD100610</t>
  </si>
  <si>
    <t>CUST76179</t>
  </si>
  <si>
    <t>ORD100611</t>
  </si>
  <si>
    <t>CUST37786</t>
  </si>
  <si>
    <t>ORD100612</t>
  </si>
  <si>
    <t>CUST80515</t>
  </si>
  <si>
    <t>ORD100613</t>
  </si>
  <si>
    <t>CUST43819</t>
  </si>
  <si>
    <t>ORD100614</t>
  </si>
  <si>
    <t>CUST26590</t>
  </si>
  <si>
    <t>ORD100615</t>
  </si>
  <si>
    <t>CUST54099</t>
  </si>
  <si>
    <t>ORD100616</t>
  </si>
  <si>
    <t>CUST69689</t>
  </si>
  <si>
    <t>ORD100617</t>
  </si>
  <si>
    <t>CUST62906</t>
  </si>
  <si>
    <t>ORD100618</t>
  </si>
  <si>
    <t>CUST47742</t>
  </si>
  <si>
    <t>ORD100619</t>
  </si>
  <si>
    <t>CUST79598</t>
  </si>
  <si>
    <t>ORD100620</t>
  </si>
  <si>
    <t>CUST62840</t>
  </si>
  <si>
    <t>ORD100621</t>
  </si>
  <si>
    <t>CUST64236</t>
  </si>
  <si>
    <t>ORD100622</t>
  </si>
  <si>
    <t>CUST69692</t>
  </si>
  <si>
    <t>ORD100623</t>
  </si>
  <si>
    <t>CUST56471</t>
  </si>
  <si>
    <t>ORD100624</t>
  </si>
  <si>
    <t>CUST75255</t>
  </si>
  <si>
    <t>ORD100625</t>
  </si>
  <si>
    <t>CUST53065</t>
  </si>
  <si>
    <t>ORD100626</t>
  </si>
  <si>
    <t>CUST30735</t>
  </si>
  <si>
    <t>ORD100627</t>
  </si>
  <si>
    <t>CUST81644</t>
  </si>
  <si>
    <t>ORD100628</t>
  </si>
  <si>
    <t>CUST22540</t>
  </si>
  <si>
    <t>ORD100629</t>
  </si>
  <si>
    <t>CUST90702</t>
  </si>
  <si>
    <t>ORD100630</t>
  </si>
  <si>
    <t>CUST26826</t>
  </si>
  <si>
    <t>ORD100631</t>
  </si>
  <si>
    <t>CUST65870</t>
  </si>
  <si>
    <t>ORD100632</t>
  </si>
  <si>
    <t>CUST49389</t>
  </si>
  <si>
    <t>ORD100633</t>
  </si>
  <si>
    <t>CUST28993</t>
  </si>
  <si>
    <t>ORD100634</t>
  </si>
  <si>
    <t>CUST25276</t>
  </si>
  <si>
    <t>ORD100635</t>
  </si>
  <si>
    <t>CUST24067</t>
  </si>
  <si>
    <t>ORD100636</t>
  </si>
  <si>
    <t>CUST52411</t>
  </si>
  <si>
    <t>ORD100637</t>
  </si>
  <si>
    <t>CUST46130</t>
  </si>
  <si>
    <t>ORD100638</t>
  </si>
  <si>
    <t>CUST22671</t>
  </si>
  <si>
    <t>ORD100639</t>
  </si>
  <si>
    <t>CUST39973</t>
  </si>
  <si>
    <t>ORD100640</t>
  </si>
  <si>
    <t>CUST51266</t>
  </si>
  <si>
    <t>ORD100641</t>
  </si>
  <si>
    <t>CUST36544</t>
  </si>
  <si>
    <t>ORD100642</t>
  </si>
  <si>
    <t>CUST82070</t>
  </si>
  <si>
    <t>ORD100643</t>
  </si>
  <si>
    <t>CUST34993</t>
  </si>
  <si>
    <t>ORD100644</t>
  </si>
  <si>
    <t>CUST93920</t>
  </si>
  <si>
    <t>ORD100645</t>
  </si>
  <si>
    <t>CUST48569</t>
  </si>
  <si>
    <t>ORD100646</t>
  </si>
  <si>
    <t>CUST80952</t>
  </si>
  <si>
    <t>ORD100647</t>
  </si>
  <si>
    <t>CUST53586</t>
  </si>
  <si>
    <t>ORD100648</t>
  </si>
  <si>
    <t>CUST68351</t>
  </si>
  <si>
    <t>ORD100649</t>
  </si>
  <si>
    <t>CUST41992</t>
  </si>
  <si>
    <t>ORD100650</t>
  </si>
  <si>
    <t>CUST99415</t>
  </si>
  <si>
    <t>ORD100651</t>
  </si>
  <si>
    <t>CUST99593</t>
  </si>
  <si>
    <t>ORD100652</t>
  </si>
  <si>
    <t>CUST35012</t>
  </si>
  <si>
    <t>ORD100653</t>
  </si>
  <si>
    <t>CUST41465</t>
  </si>
  <si>
    <t>ORD100654</t>
  </si>
  <si>
    <t>CUST60768</t>
  </si>
  <si>
    <t>ORD100655</t>
  </si>
  <si>
    <t>ORD100656</t>
  </si>
  <si>
    <t>CUST95849</t>
  </si>
  <si>
    <t>ORD100657</t>
  </si>
  <si>
    <t>CUST23365</t>
  </si>
  <si>
    <t>ORD100658</t>
  </si>
  <si>
    <t>CUST60888</t>
  </si>
  <si>
    <t>ORD100659</t>
  </si>
  <si>
    <t>CUST95470</t>
  </si>
  <si>
    <t>ORD100660</t>
  </si>
  <si>
    <t>CUST69192</t>
  </si>
  <si>
    <t>ORD100661</t>
  </si>
  <si>
    <t>CUST71990</t>
  </si>
  <si>
    <t>ORD100662</t>
  </si>
  <si>
    <t>CUST45995</t>
  </si>
  <si>
    <t>ORD100663</t>
  </si>
  <si>
    <t>CUST29961</t>
  </si>
  <si>
    <t>ORD100664</t>
  </si>
  <si>
    <t>CUST97607</t>
  </si>
  <si>
    <t>ORD100665</t>
  </si>
  <si>
    <t>CUST51830</t>
  </si>
  <si>
    <t>ORD100666</t>
  </si>
  <si>
    <t>CUST33356</t>
  </si>
  <si>
    <t>ORD100667</t>
  </si>
  <si>
    <t>CUST59529</t>
  </si>
  <si>
    <t>ORD100668</t>
  </si>
  <si>
    <t>CUST98697</t>
  </si>
  <si>
    <t>ORD100669</t>
  </si>
  <si>
    <t>CUST35866</t>
  </si>
  <si>
    <t>ORD100670</t>
  </si>
  <si>
    <t>CUST94177</t>
  </si>
  <si>
    <t>ORD100671</t>
  </si>
  <si>
    <t>CUST25383</t>
  </si>
  <si>
    <t>ORD100672</t>
  </si>
  <si>
    <t>CUST65508</t>
  </si>
  <si>
    <t>ORD100673</t>
  </si>
  <si>
    <t>CUST89827</t>
  </si>
  <si>
    <t>ORD100674</t>
  </si>
  <si>
    <t>CUST76148</t>
  </si>
  <si>
    <t>ORD100675</t>
  </si>
  <si>
    <t>CUST68571</t>
  </si>
  <si>
    <t>ORD100676</t>
  </si>
  <si>
    <t>CUST29038</t>
  </si>
  <si>
    <t>ORD100677</t>
  </si>
  <si>
    <t>CUST86317</t>
  </si>
  <si>
    <t>ORD100678</t>
  </si>
  <si>
    <t>CUST64725</t>
  </si>
  <si>
    <t>ORD100679</t>
  </si>
  <si>
    <t>CUST21658</t>
  </si>
  <si>
    <t>ORD100680</t>
  </si>
  <si>
    <t>CUST75057</t>
  </si>
  <si>
    <t>ORD100681</t>
  </si>
  <si>
    <t>CUST84251</t>
  </si>
  <si>
    <t>ORD100682</t>
  </si>
  <si>
    <t>CUST33833</t>
  </si>
  <si>
    <t>ORD100683</t>
  </si>
  <si>
    <t>CUST76822</t>
  </si>
  <si>
    <t>ORD100684</t>
  </si>
  <si>
    <t>CUST67472</t>
  </si>
  <si>
    <t>ORD100685</t>
  </si>
  <si>
    <t>CUST80258</t>
  </si>
  <si>
    <t>ORD100686</t>
  </si>
  <si>
    <t>CUST40052</t>
  </si>
  <si>
    <t>ORD100687</t>
  </si>
  <si>
    <t>CUST77080</t>
  </si>
  <si>
    <t>ORD100688</t>
  </si>
  <si>
    <t>CUST43086</t>
  </si>
  <si>
    <t>ORD100689</t>
  </si>
  <si>
    <t>CUST88386</t>
  </si>
  <si>
    <t>ORD100690</t>
  </si>
  <si>
    <t>CUST55400</t>
  </si>
  <si>
    <t>ORD100691</t>
  </si>
  <si>
    <t>CUST90539</t>
  </si>
  <si>
    <t>ORD100692</t>
  </si>
  <si>
    <t>CUST83372</t>
  </si>
  <si>
    <t>ORD100693</t>
  </si>
  <si>
    <t>CUST80931</t>
  </si>
  <si>
    <t>ORD100694</t>
  </si>
  <si>
    <t>CUST77091</t>
  </si>
  <si>
    <t>ORD100695</t>
  </si>
  <si>
    <t>CUST97656</t>
  </si>
  <si>
    <t>ORD100696</t>
  </si>
  <si>
    <t>CUST55179</t>
  </si>
  <si>
    <t>ORD100697</t>
  </si>
  <si>
    <t>CUST62245</t>
  </si>
  <si>
    <t>ORD100698</t>
  </si>
  <si>
    <t>CUST52177</t>
  </si>
  <si>
    <t>ORD100699</t>
  </si>
  <si>
    <t>CUST31359</t>
  </si>
  <si>
    <t>ORD100700</t>
  </si>
  <si>
    <t>CUST56559</t>
  </si>
  <si>
    <t>ORD100701</t>
  </si>
  <si>
    <t>CUST79087</t>
  </si>
  <si>
    <t>ORD100702</t>
  </si>
  <si>
    <t>CUST51963</t>
  </si>
  <si>
    <t>ORD100703</t>
  </si>
  <si>
    <t>CUST80910</t>
  </si>
  <si>
    <t>ORD100704</t>
  </si>
  <si>
    <t>CUST94691</t>
  </si>
  <si>
    <t>ORD100705</t>
  </si>
  <si>
    <t>CUST99997</t>
  </si>
  <si>
    <t>ORD100706</t>
  </si>
  <si>
    <t>CUST69674</t>
  </si>
  <si>
    <t>ORD100707</t>
  </si>
  <si>
    <t>CUST64092</t>
  </si>
  <si>
    <t>ORD100708</t>
  </si>
  <si>
    <t>CUST23761</t>
  </si>
  <si>
    <t>ORD100709</t>
  </si>
  <si>
    <t>CUST84789</t>
  </si>
  <si>
    <t>ORD100710</t>
  </si>
  <si>
    <t>CUST62600</t>
  </si>
  <si>
    <t>ORD100711</t>
  </si>
  <si>
    <t>CUST43834</t>
  </si>
  <si>
    <t>ORD100712</t>
  </si>
  <si>
    <t>CUST83904</t>
  </si>
  <si>
    <t>ORD100713</t>
  </si>
  <si>
    <t>CUST47802</t>
  </si>
  <si>
    <t>ORD100714</t>
  </si>
  <si>
    <t>CUST66507</t>
  </si>
  <si>
    <t>ORD100715</t>
  </si>
  <si>
    <t>CUST53862</t>
  </si>
  <si>
    <t>ORD100716</t>
  </si>
  <si>
    <t>CUST64608</t>
  </si>
  <si>
    <t>ORD100717</t>
  </si>
  <si>
    <t>CUST56655</t>
  </si>
  <si>
    <t>ORD100718</t>
  </si>
  <si>
    <t>CUST98139</t>
  </si>
  <si>
    <t>ORD100719</t>
  </si>
  <si>
    <t>CUST56211</t>
  </si>
  <si>
    <t>ORD100720</t>
  </si>
  <si>
    <t>CUST92848</t>
  </si>
  <si>
    <t>ORD100721</t>
  </si>
  <si>
    <t>CUST21330</t>
  </si>
  <si>
    <t>ORD100722</t>
  </si>
  <si>
    <t>CUST87715</t>
  </si>
  <si>
    <t>ORD100723</t>
  </si>
  <si>
    <t>CUST45042</t>
  </si>
  <si>
    <t>ORD100724</t>
  </si>
  <si>
    <t>CUST31221</t>
  </si>
  <si>
    <t>ORD100725</t>
  </si>
  <si>
    <t>CUST51635</t>
  </si>
  <si>
    <t>ORD100726</t>
  </si>
  <si>
    <t>CUST73271</t>
  </si>
  <si>
    <t>ORD100727</t>
  </si>
  <si>
    <t>CUST84038</t>
  </si>
  <si>
    <t>ORD100728</t>
  </si>
  <si>
    <t>CUST92768</t>
  </si>
  <si>
    <t>ORD100729</t>
  </si>
  <si>
    <t>CUST51499</t>
  </si>
  <si>
    <t>ORD100730</t>
  </si>
  <si>
    <t>CUST82402</t>
  </si>
  <si>
    <t>ORD100731</t>
  </si>
  <si>
    <t>CUST84332</t>
  </si>
  <si>
    <t>ORD100732</t>
  </si>
  <si>
    <t>CUST78743</t>
  </si>
  <si>
    <t>ORD100733</t>
  </si>
  <si>
    <t>CUST22260</t>
  </si>
  <si>
    <t>ORD100734</t>
  </si>
  <si>
    <t>CUST32196</t>
  </si>
  <si>
    <t>ORD100735</t>
  </si>
  <si>
    <t>CUST58566</t>
  </si>
  <si>
    <t>ORD100736</t>
  </si>
  <si>
    <t>CUST49045</t>
  </si>
  <si>
    <t>ORD100737</t>
  </si>
  <si>
    <t>CUST73005</t>
  </si>
  <si>
    <t>ORD100738</t>
  </si>
  <si>
    <t>CUST51890</t>
  </si>
  <si>
    <t>ORD100739</t>
  </si>
  <si>
    <t>CUST60135</t>
  </si>
  <si>
    <t>ORD100740</t>
  </si>
  <si>
    <t>CUST96225</t>
  </si>
  <si>
    <t>ORD100741</t>
  </si>
  <si>
    <t>CUST68368</t>
  </si>
  <si>
    <t>ORD100742</t>
  </si>
  <si>
    <t>CUST82031</t>
  </si>
  <si>
    <t>ORD100743</t>
  </si>
  <si>
    <t>CUST92544</t>
  </si>
  <si>
    <t>ORD100744</t>
  </si>
  <si>
    <t>CUST89588</t>
  </si>
  <si>
    <t>ORD100745</t>
  </si>
  <si>
    <t>CUST65056</t>
  </si>
  <si>
    <t>ORD100746</t>
  </si>
  <si>
    <t>CUST75771</t>
  </si>
  <si>
    <t>ORD100747</t>
  </si>
  <si>
    <t>CUST92140</t>
  </si>
  <si>
    <t>ORD100748</t>
  </si>
  <si>
    <t>CUST63357</t>
  </si>
  <si>
    <t>ORD100749</t>
  </si>
  <si>
    <t>CUST66112</t>
  </si>
  <si>
    <t>ORD100750</t>
  </si>
  <si>
    <t>CUST79473</t>
  </si>
  <si>
    <t>ORD100751</t>
  </si>
  <si>
    <t>CUST55509</t>
  </si>
  <si>
    <t>ORD100752</t>
  </si>
  <si>
    <t>CUST60189</t>
  </si>
  <si>
    <t>ORD100753</t>
  </si>
  <si>
    <t>CUST52951</t>
  </si>
  <si>
    <t>ORD100754</t>
  </si>
  <si>
    <t>CUST50217</t>
  </si>
  <si>
    <t>ORD100755</t>
  </si>
  <si>
    <t>CUST35814</t>
  </si>
  <si>
    <t>ORD100756</t>
  </si>
  <si>
    <t>CUST45242</t>
  </si>
  <si>
    <t>ORD100757</t>
  </si>
  <si>
    <t>CUST61359</t>
  </si>
  <si>
    <t>ORD100758</t>
  </si>
  <si>
    <t>CUST35670</t>
  </si>
  <si>
    <t>ORD100759</t>
  </si>
  <si>
    <t>CUST90236</t>
  </si>
  <si>
    <t>ORD100760</t>
  </si>
  <si>
    <t>CUST44267</t>
  </si>
  <si>
    <t>ORD100761</t>
  </si>
  <si>
    <t>CUST45105</t>
  </si>
  <si>
    <t>ORD100762</t>
  </si>
  <si>
    <t>CUST48361</t>
  </si>
  <si>
    <t>ORD100763</t>
  </si>
  <si>
    <t>CUST83464</t>
  </si>
  <si>
    <t>ORD100764</t>
  </si>
  <si>
    <t>CUST56241</t>
  </si>
  <si>
    <t>ORD100765</t>
  </si>
  <si>
    <t>CUST97278</t>
  </si>
  <si>
    <t>ORD100766</t>
  </si>
  <si>
    <t>CUST88765</t>
  </si>
  <si>
    <t>ORD100767</t>
  </si>
  <si>
    <t>CUST98222</t>
  </si>
  <si>
    <t>ORD100768</t>
  </si>
  <si>
    <t>CUST57093</t>
  </si>
  <si>
    <t>ORD100769</t>
  </si>
  <si>
    <t>CUST33176</t>
  </si>
  <si>
    <t>ORD100770</t>
  </si>
  <si>
    <t>CUST45443</t>
  </si>
  <si>
    <t>ORD100771</t>
  </si>
  <si>
    <t>CUST58829</t>
  </si>
  <si>
    <t>ORD100772</t>
  </si>
  <si>
    <t>CUST49816</t>
  </si>
  <si>
    <t>ORD100773</t>
  </si>
  <si>
    <t>CUST67301</t>
  </si>
  <si>
    <t>ORD100774</t>
  </si>
  <si>
    <t>CUST43519</t>
  </si>
  <si>
    <t>ORD100775</t>
  </si>
  <si>
    <t>CUST59618</t>
  </si>
  <si>
    <t>ORD100776</t>
  </si>
  <si>
    <t>CUST21854</t>
  </si>
  <si>
    <t>ORD100777</t>
  </si>
  <si>
    <t>ORD100778</t>
  </si>
  <si>
    <t>CUST36591</t>
  </si>
  <si>
    <t>ORD100779</t>
  </si>
  <si>
    <t>CUST55954</t>
  </si>
  <si>
    <t>ORD100780</t>
  </si>
  <si>
    <t>CUST25965</t>
  </si>
  <si>
    <t>ORD100781</t>
  </si>
  <si>
    <t>CUST27146</t>
  </si>
  <si>
    <t>ORD100782</t>
  </si>
  <si>
    <t>CUST92529</t>
  </si>
  <si>
    <t>ORD100783</t>
  </si>
  <si>
    <t>CUST58290</t>
  </si>
  <si>
    <t>ORD100784</t>
  </si>
  <si>
    <t>CUST36551</t>
  </si>
  <si>
    <t>ORD100785</t>
  </si>
  <si>
    <t>CUST84340</t>
  </si>
  <si>
    <t>ORD100786</t>
  </si>
  <si>
    <t>CUST33446</t>
  </si>
  <si>
    <t>ORD100787</t>
  </si>
  <si>
    <t>CUST21607</t>
  </si>
  <si>
    <t>ORD100788</t>
  </si>
  <si>
    <t>CUST95243</t>
  </si>
  <si>
    <t>ORD100789</t>
  </si>
  <si>
    <t>CUST57268</t>
  </si>
  <si>
    <t>ORD100790</t>
  </si>
  <si>
    <t>CUST81524</t>
  </si>
  <si>
    <t>ORD100791</t>
  </si>
  <si>
    <t>CUST82746</t>
  </si>
  <si>
    <t>ORD100792</t>
  </si>
  <si>
    <t>CUST77733</t>
  </si>
  <si>
    <t>ORD100793</t>
  </si>
  <si>
    <t>CUST64657</t>
  </si>
  <si>
    <t>ORD100794</t>
  </si>
  <si>
    <t>CUST44164</t>
  </si>
  <si>
    <t>ORD100795</t>
  </si>
  <si>
    <t>CUST26734</t>
  </si>
  <si>
    <t>ORD100796</t>
  </si>
  <si>
    <t>CUST53092</t>
  </si>
  <si>
    <t>ORD100797</t>
  </si>
  <si>
    <t>CUST82616</t>
  </si>
  <si>
    <t>ORD100798</t>
  </si>
  <si>
    <t>CUST34953</t>
  </si>
  <si>
    <t>ORD100799</t>
  </si>
  <si>
    <t>CUST28564</t>
  </si>
  <si>
    <t>ORD100800</t>
  </si>
  <si>
    <t>CUST72521</t>
  </si>
  <si>
    <t>ORD100801</t>
  </si>
  <si>
    <t>CUST84454</t>
  </si>
  <si>
    <t>ORD100802</t>
  </si>
  <si>
    <t>CUST29710</t>
  </si>
  <si>
    <t>ORD100803</t>
  </si>
  <si>
    <t>CUST95631</t>
  </si>
  <si>
    <t>ORD100804</t>
  </si>
  <si>
    <t>CUST27026</t>
  </si>
  <si>
    <t>ORD100805</t>
  </si>
  <si>
    <t>CUST39887</t>
  </si>
  <si>
    <t>ORD100806</t>
  </si>
  <si>
    <t>CUST39555</t>
  </si>
  <si>
    <t>ORD100807</t>
  </si>
  <si>
    <t>CUST93772</t>
  </si>
  <si>
    <t>ORD100808</t>
  </si>
  <si>
    <t>CUST59824</t>
  </si>
  <si>
    <t>ORD100809</t>
  </si>
  <si>
    <t>CUST31164</t>
  </si>
  <si>
    <t>ORD100810</t>
  </si>
  <si>
    <t>CUST52530</t>
  </si>
  <si>
    <t>ORD100811</t>
  </si>
  <si>
    <t>CUST35525</t>
  </si>
  <si>
    <t>ORD100812</t>
  </si>
  <si>
    <t>CUST93147</t>
  </si>
  <si>
    <t>ORD100813</t>
  </si>
  <si>
    <t>CUST74548</t>
  </si>
  <si>
    <t>ORD100814</t>
  </si>
  <si>
    <t>CUST99471</t>
  </si>
  <si>
    <t>ORD100815</t>
  </si>
  <si>
    <t>CUST98135</t>
  </si>
  <si>
    <t>ORD100816</t>
  </si>
  <si>
    <t>CUST49581</t>
  </si>
  <si>
    <t>ORD100817</t>
  </si>
  <si>
    <t>CUST88494</t>
  </si>
  <si>
    <t>ORD100818</t>
  </si>
  <si>
    <t>CUST69856</t>
  </si>
  <si>
    <t>ORD100819</t>
  </si>
  <si>
    <t>CUST79049</t>
  </si>
  <si>
    <t>ORD100820</t>
  </si>
  <si>
    <t>CUST78028</t>
  </si>
  <si>
    <t>ORD100821</t>
  </si>
  <si>
    <t>CUST58974</t>
  </si>
  <si>
    <t>ORD100822</t>
  </si>
  <si>
    <t>CUST97139</t>
  </si>
  <si>
    <t>ORD100823</t>
  </si>
  <si>
    <t>CUST76207</t>
  </si>
  <si>
    <t>ORD100824</t>
  </si>
  <si>
    <t>CUST60026</t>
  </si>
  <si>
    <t>ORD100825</t>
  </si>
  <si>
    <t>CUST94531</t>
  </si>
  <si>
    <t>ORD100826</t>
  </si>
  <si>
    <t>CUST27894</t>
  </si>
  <si>
    <t>ORD100827</t>
  </si>
  <si>
    <t>CUST99905</t>
  </si>
  <si>
    <t>ORD100828</t>
  </si>
  <si>
    <t>CUST33006</t>
  </si>
  <si>
    <t>ORD100829</t>
  </si>
  <si>
    <t>CUST47235</t>
  </si>
  <si>
    <t>ORD100830</t>
  </si>
  <si>
    <t>CUST47659</t>
  </si>
  <si>
    <t>ORD100831</t>
  </si>
  <si>
    <t>CUST54687</t>
  </si>
  <si>
    <t>ORD100832</t>
  </si>
  <si>
    <t>CUST30641</t>
  </si>
  <si>
    <t>ORD100833</t>
  </si>
  <si>
    <t>CUST40585</t>
  </si>
  <si>
    <t>ORD100834</t>
  </si>
  <si>
    <t>CUST51439</t>
  </si>
  <si>
    <t>ORD100835</t>
  </si>
  <si>
    <t>CUST42782</t>
  </si>
  <si>
    <t>ORD100836</t>
  </si>
  <si>
    <t>CUST92350</t>
  </si>
  <si>
    <t>ORD100837</t>
  </si>
  <si>
    <t>CUST29838</t>
  </si>
  <si>
    <t>ORD100838</t>
  </si>
  <si>
    <t>CUST40517</t>
  </si>
  <si>
    <t>ORD100839</t>
  </si>
  <si>
    <t>CUST20350</t>
  </si>
  <si>
    <t>ORD100840</t>
  </si>
  <si>
    <t>CUST73545</t>
  </si>
  <si>
    <t>ORD100841</t>
  </si>
  <si>
    <t>CUST79048</t>
  </si>
  <si>
    <t>ORD100842</t>
  </si>
  <si>
    <t>CUST97832</t>
  </si>
  <si>
    <t>ORD100843</t>
  </si>
  <si>
    <t>CUST81592</t>
  </si>
  <si>
    <t>ORD100844</t>
  </si>
  <si>
    <t>CUST58175</t>
  </si>
  <si>
    <t>ORD100845</t>
  </si>
  <si>
    <t>CUST24278</t>
  </si>
  <si>
    <t>ORD100846</t>
  </si>
  <si>
    <t>CUST50340</t>
  </si>
  <si>
    <t>ORD100847</t>
  </si>
  <si>
    <t>CUST57762</t>
  </si>
  <si>
    <t>ORD100848</t>
  </si>
  <si>
    <t>CUST57056</t>
  </si>
  <si>
    <t>ORD100849</t>
  </si>
  <si>
    <t>CUST79510</t>
  </si>
  <si>
    <t>ORD100850</t>
  </si>
  <si>
    <t>CUST29329</t>
  </si>
  <si>
    <t>ORD100851</t>
  </si>
  <si>
    <t>CUST50595</t>
  </si>
  <si>
    <t>ORD100852</t>
  </si>
  <si>
    <t>CUST54675</t>
  </si>
  <si>
    <t>ORD100853</t>
  </si>
  <si>
    <t>CUST97304</t>
  </si>
  <si>
    <t>ORD100854</t>
  </si>
  <si>
    <t>CUST45928</t>
  </si>
  <si>
    <t>ORD100855</t>
  </si>
  <si>
    <t>CUST75723</t>
  </si>
  <si>
    <t>ORD100856</t>
  </si>
  <si>
    <t>CUST35043</t>
  </si>
  <si>
    <t>ORD100857</t>
  </si>
  <si>
    <t>CUST91376</t>
  </si>
  <si>
    <t>ORD100858</t>
  </si>
  <si>
    <t>CUST49466</t>
  </si>
  <si>
    <t>ORD100859</t>
  </si>
  <si>
    <t>CUST39528</t>
  </si>
  <si>
    <t>ORD100860</t>
  </si>
  <si>
    <t>CUST54816</t>
  </si>
  <si>
    <t>ORD100861</t>
  </si>
  <si>
    <t>CUST38643</t>
  </si>
  <si>
    <t>ORD100862</t>
  </si>
  <si>
    <t>CUST29359</t>
  </si>
  <si>
    <t>ORD100863</t>
  </si>
  <si>
    <t>CUST27816</t>
  </si>
  <si>
    <t>ORD100864</t>
  </si>
  <si>
    <t>CUST41747</t>
  </si>
  <si>
    <t>ORD100865</t>
  </si>
  <si>
    <t>CUST60319</t>
  </si>
  <si>
    <t>ORD100866</t>
  </si>
  <si>
    <t>CUST97993</t>
  </si>
  <si>
    <t>ORD100867</t>
  </si>
  <si>
    <t>CUST94607</t>
  </si>
  <si>
    <t>ORD100868</t>
  </si>
  <si>
    <t>CUST57828</t>
  </si>
  <si>
    <t>ORD100869</t>
  </si>
  <si>
    <t>CUST77560</t>
  </si>
  <si>
    <t>ORD100870</t>
  </si>
  <si>
    <t>CUST36299</t>
  </si>
  <si>
    <t>ORD100871</t>
  </si>
  <si>
    <t>CUST81433</t>
  </si>
  <si>
    <t>ORD100872</t>
  </si>
  <si>
    <t>CUST59857</t>
  </si>
  <si>
    <t>ORD100873</t>
  </si>
  <si>
    <t>CUST72757</t>
  </si>
  <si>
    <t>ORD100874</t>
  </si>
  <si>
    <t>CUST55683</t>
  </si>
  <si>
    <t>ORD100875</t>
  </si>
  <si>
    <t>CUST85597</t>
  </si>
  <si>
    <t>ORD100876</t>
  </si>
  <si>
    <t>CUST90776</t>
  </si>
  <si>
    <t>ORD100877</t>
  </si>
  <si>
    <t>CUST84722</t>
  </si>
  <si>
    <t>ORD100878</t>
  </si>
  <si>
    <t>CUST77377</t>
  </si>
  <si>
    <t>ORD100879</t>
  </si>
  <si>
    <t>CUST30543</t>
  </si>
  <si>
    <t>ORD100880</t>
  </si>
  <si>
    <t>CUST98385</t>
  </si>
  <si>
    <t>ORD100881</t>
  </si>
  <si>
    <t>CUST25224</t>
  </si>
  <si>
    <t>ORD100882</t>
  </si>
  <si>
    <t>CUST76626</t>
  </si>
  <si>
    <t>ORD100883</t>
  </si>
  <si>
    <t>CUST62247</t>
  </si>
  <si>
    <t>ORD100884</t>
  </si>
  <si>
    <t>CUST99129</t>
  </si>
  <si>
    <t>ORD100885</t>
  </si>
  <si>
    <t>CUST52816</t>
  </si>
  <si>
    <t>ORD100886</t>
  </si>
  <si>
    <t>CUST23390</t>
  </si>
  <si>
    <t>ORD100887</t>
  </si>
  <si>
    <t>CUST31970</t>
  </si>
  <si>
    <t>ORD100888</t>
  </si>
  <si>
    <t>CUST50005</t>
  </si>
  <si>
    <t>ORD100889</t>
  </si>
  <si>
    <t>CUST95392</t>
  </si>
  <si>
    <t>ORD100890</t>
  </si>
  <si>
    <t>CUST96955</t>
  </si>
  <si>
    <t>ORD100891</t>
  </si>
  <si>
    <t>CUST22719</t>
  </si>
  <si>
    <t>ORD100892</t>
  </si>
  <si>
    <t>CUST55325</t>
  </si>
  <si>
    <t>ORD100893</t>
  </si>
  <si>
    <t>CUST95529</t>
  </si>
  <si>
    <t>ORD100894</t>
  </si>
  <si>
    <t>CUST25273</t>
  </si>
  <si>
    <t>ORD100895</t>
  </si>
  <si>
    <t>CUST42962</t>
  </si>
  <si>
    <t>ORD100896</t>
  </si>
  <si>
    <t>CUST81669</t>
  </si>
  <si>
    <t>ORD100897</t>
  </si>
  <si>
    <t>CUST88021</t>
  </si>
  <si>
    <t>ORD100898</t>
  </si>
  <si>
    <t>CUST77963</t>
  </si>
  <si>
    <t>ORD100899</t>
  </si>
  <si>
    <t>CUST56458</t>
  </si>
  <si>
    <t>ORD100900</t>
  </si>
  <si>
    <t>CUST43788</t>
  </si>
  <si>
    <t>ORD100901</t>
  </si>
  <si>
    <t>CUST96720</t>
  </si>
  <si>
    <t>ORD100902</t>
  </si>
  <si>
    <t>CUST77132</t>
  </si>
  <si>
    <t>ORD100903</t>
  </si>
  <si>
    <t>CUST84451</t>
  </si>
  <si>
    <t>ORD100904</t>
  </si>
  <si>
    <t>CUST31959</t>
  </si>
  <si>
    <t>ORD100905</t>
  </si>
  <si>
    <t>CUST81605</t>
  </si>
  <si>
    <t>ORD100906</t>
  </si>
  <si>
    <t>CUST65607</t>
  </si>
  <si>
    <t>ORD100907</t>
  </si>
  <si>
    <t>CUST73523</t>
  </si>
  <si>
    <t>ORD100908</t>
  </si>
  <si>
    <t>CUST63687</t>
  </si>
  <si>
    <t>ORD100909</t>
  </si>
  <si>
    <t>CUST62081</t>
  </si>
  <si>
    <t>ORD100910</t>
  </si>
  <si>
    <t>CUST33710</t>
  </si>
  <si>
    <t>ORD100911</t>
  </si>
  <si>
    <t>CUST41079</t>
  </si>
  <si>
    <t>ORD100912</t>
  </si>
  <si>
    <t>CUST63228</t>
  </si>
  <si>
    <t>ORD100913</t>
  </si>
  <si>
    <t>CUST73955</t>
  </si>
  <si>
    <t>ORD100914</t>
  </si>
  <si>
    <t>CUST84942</t>
  </si>
  <si>
    <t>ORD100915</t>
  </si>
  <si>
    <t>CUST57777</t>
  </si>
  <si>
    <t>ORD100916</t>
  </si>
  <si>
    <t>CUST72488</t>
  </si>
  <si>
    <t>ORD100917</t>
  </si>
  <si>
    <t>CUST92102</t>
  </si>
  <si>
    <t>ORD100918</t>
  </si>
  <si>
    <t>CUST24809</t>
  </si>
  <si>
    <t>ORD100919</t>
  </si>
  <si>
    <t>CUST79614</t>
  </si>
  <si>
    <t>ORD100920</t>
  </si>
  <si>
    <t>CUST31542</t>
  </si>
  <si>
    <t>ORD100921</t>
  </si>
  <si>
    <t>CUST61224</t>
  </si>
  <si>
    <t>ORD100922</t>
  </si>
  <si>
    <t>CUST53082</t>
  </si>
  <si>
    <t>ORD100923</t>
  </si>
  <si>
    <t>CUST62372</t>
  </si>
  <si>
    <t>ORD100924</t>
  </si>
  <si>
    <t>CUST35194</t>
  </si>
  <si>
    <t>ORD100925</t>
  </si>
  <si>
    <t>CUST72976</t>
  </si>
  <si>
    <t>ORD100926</t>
  </si>
  <si>
    <t>CUST87449</t>
  </si>
  <si>
    <t>ORD100927</t>
  </si>
  <si>
    <t>CUST20150</t>
  </si>
  <si>
    <t>ORD100928</t>
  </si>
  <si>
    <t>CUST91118</t>
  </si>
  <si>
    <t>ORD100929</t>
  </si>
  <si>
    <t>CUST80552</t>
  </si>
  <si>
    <t>ORD100930</t>
  </si>
  <si>
    <t>CUST74165</t>
  </si>
  <si>
    <t>ORD100931</t>
  </si>
  <si>
    <t>CUST27104</t>
  </si>
  <si>
    <t>ORD100932</t>
  </si>
  <si>
    <t>CUST44586</t>
  </si>
  <si>
    <t>ORD100933</t>
  </si>
  <si>
    <t>CUST87952</t>
  </si>
  <si>
    <t>ORD100934</t>
  </si>
  <si>
    <t>CUST67419</t>
  </si>
  <si>
    <t>ORD100935</t>
  </si>
  <si>
    <t>CUST85338</t>
  </si>
  <si>
    <t>ORD100936</t>
  </si>
  <si>
    <t>CUST77939</t>
  </si>
  <si>
    <t>ORD100937</t>
  </si>
  <si>
    <t>CUST26764</t>
  </si>
  <si>
    <t>ORD100938</t>
  </si>
  <si>
    <t>CUST46680</t>
  </si>
  <si>
    <t>ORD100939</t>
  </si>
  <si>
    <t>CUST55003</t>
  </si>
  <si>
    <t>ORD100940</t>
  </si>
  <si>
    <t>CUST91987</t>
  </si>
  <si>
    <t>ORD100941</t>
  </si>
  <si>
    <t>CUST37172</t>
  </si>
  <si>
    <t>ORD100942</t>
  </si>
  <si>
    <t>CUST57752</t>
  </si>
  <si>
    <t>ORD100943</t>
  </si>
  <si>
    <t>CUST77424</t>
  </si>
  <si>
    <t>ORD100944</t>
  </si>
  <si>
    <t>CUST83532</t>
  </si>
  <si>
    <t>ORD100945</t>
  </si>
  <si>
    <t>CUST35915</t>
  </si>
  <si>
    <t>ORD100946</t>
  </si>
  <si>
    <t>CUST23783</t>
  </si>
  <si>
    <t>ORD100947</t>
  </si>
  <si>
    <t>CUST99806</t>
  </si>
  <si>
    <t>ORD100948</t>
  </si>
  <si>
    <t>CUST51365</t>
  </si>
  <si>
    <t>ORD100949</t>
  </si>
  <si>
    <t>CUST40758</t>
  </si>
  <si>
    <t>ORD100950</t>
  </si>
  <si>
    <t>CUST60730</t>
  </si>
  <si>
    <t>ORD100951</t>
  </si>
  <si>
    <t>CUST92199</t>
  </si>
  <si>
    <t>ORD100952</t>
  </si>
  <si>
    <t>CUST21792</t>
  </si>
  <si>
    <t>ORD100953</t>
  </si>
  <si>
    <t>CUST92384</t>
  </si>
  <si>
    <t>ORD100954</t>
  </si>
  <si>
    <t>CUST73476</t>
  </si>
  <si>
    <t>ORD100955</t>
  </si>
  <si>
    <t>CUST32217</t>
  </si>
  <si>
    <t>ORD100956</t>
  </si>
  <si>
    <t>ORD100957</t>
  </si>
  <si>
    <t>CUST34871</t>
  </si>
  <si>
    <t>ORD100958</t>
  </si>
  <si>
    <t>CUST80482</t>
  </si>
  <si>
    <t>ORD100959</t>
  </si>
  <si>
    <t>CUST35396</t>
  </si>
  <si>
    <t>ORD100960</t>
  </si>
  <si>
    <t>CUST40181</t>
  </si>
  <si>
    <t>ORD100961</t>
  </si>
  <si>
    <t>CUST85323</t>
  </si>
  <si>
    <t>ORD100962</t>
  </si>
  <si>
    <t>CUST58254</t>
  </si>
  <si>
    <t>ORD100963</t>
  </si>
  <si>
    <t>CUST86698</t>
  </si>
  <si>
    <t>ORD100964</t>
  </si>
  <si>
    <t>CUST55838</t>
  </si>
  <si>
    <t>ORD100965</t>
  </si>
  <si>
    <t>CUST74459</t>
  </si>
  <si>
    <t>ORD100966</t>
  </si>
  <si>
    <t>CUST83242</t>
  </si>
  <si>
    <t>ORD100967</t>
  </si>
  <si>
    <t>CUST81894</t>
  </si>
  <si>
    <t>ORD100968</t>
  </si>
  <si>
    <t>CUST51946</t>
  </si>
  <si>
    <t>ORD100969</t>
  </si>
  <si>
    <t>CUST79871</t>
  </si>
  <si>
    <t>ORD100970</t>
  </si>
  <si>
    <t>CUST92255</t>
  </si>
  <si>
    <t>ORD100971</t>
  </si>
  <si>
    <t>CUST38958</t>
  </si>
  <si>
    <t>ORD100972</t>
  </si>
  <si>
    <t>CUST70277</t>
  </si>
  <si>
    <t>ORD100973</t>
  </si>
  <si>
    <t>CUST44983</t>
  </si>
  <si>
    <t>ORD100974</t>
  </si>
  <si>
    <t>CUST98561</t>
  </si>
  <si>
    <t>ORD100975</t>
  </si>
  <si>
    <t>CUST86616</t>
  </si>
  <si>
    <t>ORD100976</t>
  </si>
  <si>
    <t>CUST37892</t>
  </si>
  <si>
    <t>ORD100977</t>
  </si>
  <si>
    <t>CUST29150</t>
  </si>
  <si>
    <t>ORD100978</t>
  </si>
  <si>
    <t>CUST56208</t>
  </si>
  <si>
    <t>ORD100979</t>
  </si>
  <si>
    <t>CUST74387</t>
  </si>
  <si>
    <t>ORD100980</t>
  </si>
  <si>
    <t>CUST64548</t>
  </si>
  <si>
    <t>ORD100981</t>
  </si>
  <si>
    <t>CUST86550</t>
  </si>
  <si>
    <t>ORD100982</t>
  </si>
  <si>
    <t>CUST55018</t>
  </si>
  <si>
    <t>ORD100983</t>
  </si>
  <si>
    <t>CUST20336</t>
  </si>
  <si>
    <t>ORD100984</t>
  </si>
  <si>
    <t>CUST57072</t>
  </si>
  <si>
    <t>ORD100985</t>
  </si>
  <si>
    <t>CUST59132</t>
  </si>
  <si>
    <t>ORD100986</t>
  </si>
  <si>
    <t>CUST96931</t>
  </si>
  <si>
    <t>ORD100987</t>
  </si>
  <si>
    <t>CUST96011</t>
  </si>
  <si>
    <t>ORD100988</t>
  </si>
  <si>
    <t>CUST84178</t>
  </si>
  <si>
    <t>ORD100989</t>
  </si>
  <si>
    <t>CUST39476</t>
  </si>
  <si>
    <t>ORD100990</t>
  </si>
  <si>
    <t>CUST78529</t>
  </si>
  <si>
    <t>ORD100991</t>
  </si>
  <si>
    <t>CUST90592</t>
  </si>
  <si>
    <t>ORD100992</t>
  </si>
  <si>
    <t>CUST83483</t>
  </si>
  <si>
    <t>ORD100993</t>
  </si>
  <si>
    <t>CUST65236</t>
  </si>
  <si>
    <t>ORD100994</t>
  </si>
  <si>
    <t>CUST63573</t>
  </si>
  <si>
    <t>ORD100995</t>
  </si>
  <si>
    <t>CUST92340</t>
  </si>
  <si>
    <t>ORD100996</t>
  </si>
  <si>
    <t>CUST91228</t>
  </si>
  <si>
    <t>ORD100997</t>
  </si>
  <si>
    <t>CUST69441</t>
  </si>
  <si>
    <t>ORD100998</t>
  </si>
  <si>
    <t>CUST79682</t>
  </si>
  <si>
    <t>ORD100999</t>
  </si>
  <si>
    <t>CUST62176</t>
  </si>
  <si>
    <t>ORDERS</t>
  </si>
  <si>
    <t>signup_date</t>
  </si>
  <si>
    <t>age</t>
  </si>
  <si>
    <t>gender</t>
  </si>
  <si>
    <t>membership_type</t>
  </si>
  <si>
    <t>Female</t>
  </si>
  <si>
    <t>Gold</t>
  </si>
  <si>
    <t>Regular</t>
  </si>
  <si>
    <t>Male</t>
  </si>
  <si>
    <t>Non-binary</t>
  </si>
  <si>
    <t>Club VIP</t>
  </si>
  <si>
    <t>partner_id</t>
  </si>
  <si>
    <t>avg_rating</t>
  </si>
  <si>
    <t>joining_date</t>
  </si>
  <si>
    <t>PTN5001</t>
  </si>
  <si>
    <t>PTN5002</t>
  </si>
  <si>
    <t>PTN5003</t>
  </si>
  <si>
    <t>PTN5004</t>
  </si>
  <si>
    <t>PTN5005</t>
  </si>
  <si>
    <t>PTN5006</t>
  </si>
  <si>
    <t>PTN5007</t>
  </si>
  <si>
    <t>PTN5008</t>
  </si>
  <si>
    <t>PTN5009</t>
  </si>
  <si>
    <t>PTN5010</t>
  </si>
  <si>
    <t>PTN5011</t>
  </si>
  <si>
    <t>PTN5012</t>
  </si>
  <si>
    <t>PTN5013</t>
  </si>
  <si>
    <t>PTN5014</t>
  </si>
  <si>
    <t>PTN5015</t>
  </si>
  <si>
    <t>PTN5016</t>
  </si>
  <si>
    <t>PTN5017</t>
  </si>
  <si>
    <t>PTN5018</t>
  </si>
  <si>
    <t>PTN5019</t>
  </si>
  <si>
    <t>PTN5020</t>
  </si>
  <si>
    <t>PTN5021</t>
  </si>
  <si>
    <t>PTN5022</t>
  </si>
  <si>
    <t>PTN5023</t>
  </si>
  <si>
    <t>PTN5024</t>
  </si>
  <si>
    <t>PTN5025</t>
  </si>
  <si>
    <t>PTN5026</t>
  </si>
  <si>
    <t>PTN5027</t>
  </si>
  <si>
    <t>PTN5028</t>
  </si>
  <si>
    <t>PTN5029</t>
  </si>
  <si>
    <t>PTN5030</t>
  </si>
  <si>
    <t>PTN5031</t>
  </si>
  <si>
    <t>PTN5032</t>
  </si>
  <si>
    <t>PTN5033</t>
  </si>
  <si>
    <t>PTN5034</t>
  </si>
  <si>
    <t>PTN5035</t>
  </si>
  <si>
    <t>PTN5036</t>
  </si>
  <si>
    <t>PTN5037</t>
  </si>
  <si>
    <t>PTN5038</t>
  </si>
  <si>
    <t>PTN5039</t>
  </si>
  <si>
    <t>PTN5040</t>
  </si>
  <si>
    <t>PTN5041</t>
  </si>
  <si>
    <t>PTN5042</t>
  </si>
  <si>
    <t>PTN5043</t>
  </si>
  <si>
    <t>PTN5044</t>
  </si>
  <si>
    <t>PTN5045</t>
  </si>
  <si>
    <t>PTN5046</t>
  </si>
  <si>
    <t>PTN5047</t>
  </si>
  <si>
    <t>PTN5048</t>
  </si>
  <si>
    <t>PTN5049</t>
  </si>
  <si>
    <t>PTN5050</t>
  </si>
  <si>
    <t>PTN5051</t>
  </si>
  <si>
    <t>PTN5052</t>
  </si>
  <si>
    <t>PTN5053</t>
  </si>
  <si>
    <t>PTN5054</t>
  </si>
  <si>
    <t>PTN5055</t>
  </si>
  <si>
    <t>PTN5056</t>
  </si>
  <si>
    <t>PTN5057</t>
  </si>
  <si>
    <t>PTN5058</t>
  </si>
  <si>
    <t>PTN5059</t>
  </si>
  <si>
    <t>PTN5060</t>
  </si>
  <si>
    <t>PTN5061</t>
  </si>
  <si>
    <t>PTN5062</t>
  </si>
  <si>
    <t>PTN5063</t>
  </si>
  <si>
    <t>PTN5064</t>
  </si>
  <si>
    <t>PTN5065</t>
  </si>
  <si>
    <t>PTN5066</t>
  </si>
  <si>
    <t>PTN5067</t>
  </si>
  <si>
    <t>PTN5068</t>
  </si>
  <si>
    <t>PTN5069</t>
  </si>
  <si>
    <t>PTN5070</t>
  </si>
  <si>
    <t>PTN5071</t>
  </si>
  <si>
    <t>PTN5072</t>
  </si>
  <si>
    <t>PTN5073</t>
  </si>
  <si>
    <t>PTN5074</t>
  </si>
  <si>
    <t>PTN5075</t>
  </si>
  <si>
    <t>PTN5076</t>
  </si>
  <si>
    <t>PTN5077</t>
  </si>
  <si>
    <t>PTN5078</t>
  </si>
  <si>
    <t>PTN5079</t>
  </si>
  <si>
    <t>PTN5080</t>
  </si>
  <si>
    <t>PTN5081</t>
  </si>
  <si>
    <t>PTN5082</t>
  </si>
  <si>
    <t>PTN5083</t>
  </si>
  <si>
    <t>PTN5084</t>
  </si>
  <si>
    <t>PTN5085</t>
  </si>
  <si>
    <t>PTN5086</t>
  </si>
  <si>
    <t>PTN5087</t>
  </si>
  <si>
    <t>PTN5088</t>
  </si>
  <si>
    <t>PTN5089</t>
  </si>
  <si>
    <t>PTN5090</t>
  </si>
  <si>
    <t>PTN5091</t>
  </si>
  <si>
    <t>PTN5092</t>
  </si>
  <si>
    <t>PTN5093</t>
  </si>
  <si>
    <t>PTN5094</t>
  </si>
  <si>
    <t>PTN5095</t>
  </si>
  <si>
    <t>PTN5096</t>
  </si>
  <si>
    <t>PTN5097</t>
  </si>
  <si>
    <t>PTN5098</t>
  </si>
  <si>
    <t>PTN5099</t>
  </si>
  <si>
    <t>PTN5100</t>
  </si>
  <si>
    <t>PTN5101</t>
  </si>
  <si>
    <t>PTN5102</t>
  </si>
  <si>
    <t>PTN5103</t>
  </si>
  <si>
    <t>PTN5104</t>
  </si>
  <si>
    <t>PTN5105</t>
  </si>
  <si>
    <t>PTN5106</t>
  </si>
  <si>
    <t>PTN5107</t>
  </si>
  <si>
    <t>PTN5108</t>
  </si>
  <si>
    <t>PTN5109</t>
  </si>
  <si>
    <t>PTN5110</t>
  </si>
  <si>
    <t>PTN5111</t>
  </si>
  <si>
    <t>PTN5112</t>
  </si>
  <si>
    <t>PTN5113</t>
  </si>
  <si>
    <t>PTN5114</t>
  </si>
  <si>
    <t>PTN5115</t>
  </si>
  <si>
    <t>PTN5116</t>
  </si>
  <si>
    <t>PTN5117</t>
  </si>
  <si>
    <t>PTN5118</t>
  </si>
  <si>
    <t>PTN5119</t>
  </si>
  <si>
    <t>PTN5120</t>
  </si>
  <si>
    <t>PTN5121</t>
  </si>
  <si>
    <t>PTN5122</t>
  </si>
  <si>
    <t>PTN5123</t>
  </si>
  <si>
    <t>PTN5124</t>
  </si>
  <si>
    <t>PTN5125</t>
  </si>
  <si>
    <t>PTN5126</t>
  </si>
  <si>
    <t>PTN5127</t>
  </si>
  <si>
    <t>PTN5128</t>
  </si>
  <si>
    <t>PTN5129</t>
  </si>
  <si>
    <t>PTN5130</t>
  </si>
  <si>
    <t>PTN5131</t>
  </si>
  <si>
    <t>PTN5132</t>
  </si>
  <si>
    <t>PTN5133</t>
  </si>
  <si>
    <t>PTN5134</t>
  </si>
  <si>
    <t>PTN5135</t>
  </si>
  <si>
    <t>PTN5136</t>
  </si>
  <si>
    <t>PTN5137</t>
  </si>
  <si>
    <t>PTN5138</t>
  </si>
  <si>
    <t>PTN5139</t>
  </si>
  <si>
    <t>PTN5140</t>
  </si>
  <si>
    <t>PTN5141</t>
  </si>
  <si>
    <t>PTN5142</t>
  </si>
  <si>
    <t>PTN5143</t>
  </si>
  <si>
    <t>PTN5144</t>
  </si>
  <si>
    <t>PTN5145</t>
  </si>
  <si>
    <t>PTN5146</t>
  </si>
  <si>
    <t>PTN5147</t>
  </si>
  <si>
    <t>PTN5148</t>
  </si>
  <si>
    <t>PTN5149</t>
  </si>
  <si>
    <t>PTN5150</t>
  </si>
  <si>
    <t>PTN5151</t>
  </si>
  <si>
    <t>PTN5152</t>
  </si>
  <si>
    <t>PTN5153</t>
  </si>
  <si>
    <t>PTN5154</t>
  </si>
  <si>
    <t>PTN5155</t>
  </si>
  <si>
    <t>PTN5156</t>
  </si>
  <si>
    <t>PTN5157</t>
  </si>
  <si>
    <t>PTN5158</t>
  </si>
  <si>
    <t>PTN5159</t>
  </si>
  <si>
    <t>cancel_reason</t>
  </si>
  <si>
    <t>Payment failed</t>
  </si>
  <si>
    <t>High wait time</t>
  </si>
  <si>
    <t>Rider unavailable</t>
  </si>
  <si>
    <t>Store closed</t>
  </si>
  <si>
    <t>CUSTOMERS</t>
  </si>
  <si>
    <t>DELIVERY PARTNER</t>
  </si>
  <si>
    <t>delivery_minutes</t>
  </si>
  <si>
    <t>order_cateogry</t>
  </si>
  <si>
    <t>Duration</t>
  </si>
  <si>
    <t>Row Labels</t>
  </si>
  <si>
    <t>Grand Total</t>
  </si>
  <si>
    <t>Count of order_status</t>
  </si>
  <si>
    <t>cancellation rate</t>
  </si>
  <si>
    <t>Count of city</t>
  </si>
  <si>
    <t>High</t>
  </si>
  <si>
    <t>Low</t>
  </si>
  <si>
    <t>Moderate</t>
  </si>
  <si>
    <t>Count of order_cateogry</t>
  </si>
  <si>
    <t>Count of payment_mode</t>
  </si>
  <si>
    <t>May</t>
  </si>
  <si>
    <t>Jun</t>
  </si>
  <si>
    <t>Sum of order_value</t>
  </si>
  <si>
    <t>Early Morning</t>
  </si>
  <si>
    <t>Evening</t>
  </si>
  <si>
    <t>Late Night</t>
  </si>
  <si>
    <t>Count of Duration</t>
  </si>
  <si>
    <t>Count of cancel_reason</t>
  </si>
  <si>
    <t>Total Orders</t>
  </si>
  <si>
    <t>Revenue</t>
  </si>
  <si>
    <t>Avg Delivery Time</t>
  </si>
  <si>
    <t>Cancellation %</t>
  </si>
  <si>
    <t>Average of delivery_minutes</t>
  </si>
  <si>
    <t xml:space="preserve"> ZEPTO DASHBOARD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</si>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</sst>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2"/>
      <color theme="1"/>
      <name val="Aptos Narrow"/>
      <family val="2"/>
      <scheme val="minor"/>
    </font>
    <font>
      <b/>
      <sz val="12"/>
      <color theme="1"/>
      <name val="Aptos Narrow"/>
      <family val="2"/>
      <scheme val="minor"/>
    </font>
    <font>
      <b/>
      <sz val="22"/>
      <color theme="8" tint="-0.249977111117893"/>
      <name val="Aptos Narrow"/>
      <scheme val="minor"/>
    </font>
    <font>
      <b/>
      <sz val="12"/>
      <color theme="1"/>
      <name val="Aptos Narrow"/>
      <scheme val="minor"/>
    </font>
    <font>
      <sz val="12"/>
      <color rgb="FF000000"/>
      <name val="Aptos Narrow"/>
      <family val="2"/>
      <scheme val="minor"/>
    </font>
    <font>
      <sz val="12"/>
      <color theme="2"/>
      <name val="Aptos Narrow"/>
      <family val="2"/>
      <scheme val="minor"/>
    </font>
    <font>
      <b/>
      <sz val="36"/>
      <color theme="2"/>
      <name val="Aptos Narrow"/>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1" xfId="0" applyBorder="1"/>
    <xf numFmtId="0" fontId="0" fillId="0" borderId="1" xfId="0" applyBorder="1" applyAlignment="1">
      <alignment horizontal="center" vertical="center"/>
    </xf>
    <xf numFmtId="22" fontId="0" fillId="0" borderId="1" xfId="0" applyNumberFormat="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14" fontId="0" fillId="0" borderId="1" xfId="0" applyNumberFormat="1" applyBorder="1" applyAlignment="1">
      <alignment horizontal="center" vertical="center"/>
    </xf>
    <xf numFmtId="0" fontId="3" fillId="0" borderId="0" xfId="0" applyFont="1" applyAlignment="1">
      <alignment vertical="center"/>
    </xf>
    <xf numFmtId="0" fontId="1" fillId="0" borderId="0" xfId="0" applyFont="1" applyAlignment="1">
      <alignment horizontal="center" vertical="center"/>
    </xf>
    <xf numFmtId="2"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4" fillId="0" borderId="0" xfId="0" applyFont="1"/>
    <xf numFmtId="164" fontId="0" fillId="0" borderId="0" xfId="0" applyNumberFormat="1"/>
    <xf numFmtId="2" fontId="0" fillId="0" borderId="0" xfId="0" applyNumberFormat="1"/>
    <xf numFmtId="0" fontId="3" fillId="0" borderId="0" xfId="0" applyFont="1"/>
    <xf numFmtId="0" fontId="0" fillId="0" borderId="0" xfId="0" applyAlignment="1">
      <alignment horizontal="center"/>
    </xf>
    <xf numFmtId="0" fontId="5" fillId="2" borderId="0" xfId="0" applyFont="1" applyFill="1" applyAlignment="1">
      <alignment horizontal="center"/>
    </xf>
    <xf numFmtId="0" fontId="6" fillId="4" borderId="1" xfId="0" applyFont="1" applyFill="1" applyBorder="1" applyAlignment="1">
      <alignment horizontal="center" vertical="center"/>
    </xf>
    <xf numFmtId="0" fontId="0" fillId="3" borderId="0" xfId="0" applyFill="1" applyAlignment="1">
      <alignment horizontal="center"/>
    </xf>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31">
    <dxf>
      <fill>
        <patternFill>
          <bgColor rgb="FFFFFF00"/>
        </patternFill>
      </fill>
    </dxf>
    <dxf>
      <fill>
        <patternFill>
          <bgColor rgb="FFFF000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font>
        <b/>
      </font>
      <alignment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 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font>
        <b/>
      </font>
      <alignment horizontal="center" vertical="center" textRotation="0" wrapText="0" indent="0" justifyLastLine="0" shrinkToFit="0" readingOrder="0"/>
    </dxf>
  </dxfs>
  <tableStyles count="0" defaultTableStyle="TableStyleMedium2" defaultPivotStyle="PivotStyleLight16"/>
  <colors>
    <mruColors>
      <color rgb="FF0098D1"/>
      <color rgb="FFE181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[Quick_Commerce.xlsx]pivot!PivotTable2</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pivot!$A$12:$A$20</c:f>
              <c:strCache>
                <c:ptCount val="8"/>
                <c:pt idx="0">
                  <c:v>Ahmedabad</c:v>
                </c:pt>
                <c:pt idx="1">
                  <c:v>Bengaluru</c:v>
                </c:pt>
                <c:pt idx="2">
                  <c:v>Chennai</c:v>
                </c:pt>
                <c:pt idx="3">
                  <c:v>Delhi NCR</c:v>
                </c:pt>
                <c:pt idx="4">
                  <c:v>Hyderabad</c:v>
                </c:pt>
                <c:pt idx="5">
                  <c:v>Kolkata</c:v>
                </c:pt>
                <c:pt idx="6">
                  <c:v>Mumbai</c:v>
                </c:pt>
                <c:pt idx="7">
                  <c:v>Pune</c:v>
                </c:pt>
              </c:strCache>
            </c:strRef>
          </c:cat>
          <c:val>
            <c:numRef>
              <c:f>pivot!$B$12:$B$20</c:f>
              <c:numCache>
                <c:formatCode>General</c:formatCode>
                <c:ptCount val="8"/>
                <c:pt idx="0">
                  <c:v>134</c:v>
                </c:pt>
                <c:pt idx="1">
                  <c:v>128</c:v>
                </c:pt>
                <c:pt idx="2">
                  <c:v>149</c:v>
                </c:pt>
                <c:pt idx="3">
                  <c:v>133</c:v>
                </c:pt>
                <c:pt idx="4">
                  <c:v>104</c:v>
                </c:pt>
                <c:pt idx="5">
                  <c:v>119</c:v>
                </c:pt>
                <c:pt idx="6">
                  <c:v>108</c:v>
                </c:pt>
                <c:pt idx="7">
                  <c:v>125</c:v>
                </c:pt>
              </c:numCache>
            </c:numRef>
          </c:val>
          <c:extLst>
            <c:ext xmlns:c16="http://schemas.microsoft.com/office/drawing/2014/chart" uri="{C3380CC4-5D6E-409C-BE32-E72D297353CC}">
              <c16:uniqueId val="{00000000-6CBF-FC45-AF74-59057257B72D}"/>
            </c:ext>
          </c:extLst>
        </c:ser>
        <c:dLbls>
          <c:dLblPos val="inEnd"/>
          <c:showLegendKey val="0"/>
          <c:showVal val="1"/>
          <c:showCatName val="0"/>
          <c:showSerName val="0"/>
          <c:showPercent val="0"/>
          <c:showBubbleSize val="0"/>
        </c:dLbls>
        <c:gapWidth val="41"/>
        <c:axId val="2058631247"/>
        <c:axId val="1757409344"/>
      </c:barChart>
      <c:catAx>
        <c:axId val="2058631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57409344"/>
        <c:crosses val="autoZero"/>
        <c:auto val="1"/>
        <c:lblAlgn val="ctr"/>
        <c:lblOffset val="100"/>
        <c:noMultiLvlLbl val="0"/>
      </c:catAx>
      <c:valAx>
        <c:axId val="1757409344"/>
        <c:scaling>
          <c:orientation val="minMax"/>
        </c:scaling>
        <c:delete val="1"/>
        <c:axPos val="l"/>
        <c:numFmt formatCode="General" sourceLinked="1"/>
        <c:majorTickMark val="none"/>
        <c:minorTickMark val="none"/>
        <c:tickLblPos val="nextTo"/>
        <c:crossAx val="205863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7FD-EB41-B983-D85E70A1EE5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7FD-EB41-B983-D85E70A1EE53}"/>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7FD-EB41-B983-D85E70A1EE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pivot!$A$4:$A$7</c:f>
              <c:strCache>
                <c:ptCount val="3"/>
                <c:pt idx="0">
                  <c:v>cancelled</c:v>
                </c:pt>
                <c:pt idx="1">
                  <c:v>delayed</c:v>
                </c:pt>
                <c:pt idx="2">
                  <c:v>delivered</c:v>
                </c:pt>
              </c:strCache>
            </c:strRef>
          </c:cat>
          <c:val>
            <c:numRef>
              <c:f>pivot!$B$4:$B$7</c:f>
              <c:numCache>
                <c:formatCode>General</c:formatCode>
                <c:ptCount val="3"/>
                <c:pt idx="0">
                  <c:v>75</c:v>
                </c:pt>
                <c:pt idx="1">
                  <c:v>131</c:v>
                </c:pt>
                <c:pt idx="2">
                  <c:v>794</c:v>
                </c:pt>
              </c:numCache>
            </c:numRef>
          </c:val>
          <c:extLst>
            <c:ext xmlns:c16="http://schemas.microsoft.com/office/drawing/2014/chart" uri="{C3380CC4-5D6E-409C-BE32-E72D297353CC}">
              <c16:uniqueId val="{00000000-CE33-1B45-BF0E-7B24884B47D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pivot!$B$48</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F1-4D4A-9A14-8B4DC16F683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F1-4D4A-9A14-8B4DC16F683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CF1-4D4A-9A14-8B4DC16F68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pivot!$A$49:$A$52</c:f>
              <c:strCache>
                <c:ptCount val="3"/>
                <c:pt idx="0">
                  <c:v>Early Morning</c:v>
                </c:pt>
                <c:pt idx="1">
                  <c:v>Evening</c:v>
                </c:pt>
                <c:pt idx="2">
                  <c:v>Late Night</c:v>
                </c:pt>
              </c:strCache>
            </c:strRef>
          </c:cat>
          <c:val>
            <c:numRef>
              <c:f>pivot!$B$49:$B$52</c:f>
              <c:numCache>
                <c:formatCode>General</c:formatCode>
                <c:ptCount val="3"/>
                <c:pt idx="0">
                  <c:v>280</c:v>
                </c:pt>
                <c:pt idx="1">
                  <c:v>580</c:v>
                </c:pt>
                <c:pt idx="2">
                  <c:v>140</c:v>
                </c:pt>
              </c:numCache>
            </c:numRef>
          </c:val>
          <c:extLst>
            <c:ext xmlns:c16="http://schemas.microsoft.com/office/drawing/2014/chart" uri="{C3380CC4-5D6E-409C-BE32-E72D297353CC}">
              <c16:uniqueId val="{00000000-423F-0D4E-95CE-20F2CDE488B8}"/>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[Quick_Commerce.xlsx]pivot!PivotTable4</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pivot!$A$33:$A$39</c:f>
              <c:strCache>
                <c:ptCount val="6"/>
                <c:pt idx="0">
                  <c:v>COD</c:v>
                </c:pt>
                <c:pt idx="1">
                  <c:v>Credit Card</c:v>
                </c:pt>
                <c:pt idx="2">
                  <c:v>Debit Card</c:v>
                </c:pt>
                <c:pt idx="3">
                  <c:v>Net Banking</c:v>
                </c:pt>
                <c:pt idx="4">
                  <c:v>UPI</c:v>
                </c:pt>
                <c:pt idx="5">
                  <c:v>Wallet</c:v>
                </c:pt>
              </c:strCache>
            </c:strRef>
          </c:cat>
          <c:val>
            <c:numRef>
              <c:f>pivot!$B$33:$B$39</c:f>
              <c:numCache>
                <c:formatCode>General</c:formatCode>
                <c:ptCount val="6"/>
                <c:pt idx="0">
                  <c:v>157</c:v>
                </c:pt>
                <c:pt idx="1">
                  <c:v>178</c:v>
                </c:pt>
                <c:pt idx="2">
                  <c:v>157</c:v>
                </c:pt>
                <c:pt idx="3">
                  <c:v>170</c:v>
                </c:pt>
                <c:pt idx="4">
                  <c:v>175</c:v>
                </c:pt>
                <c:pt idx="5">
                  <c:v>163</c:v>
                </c:pt>
              </c:numCache>
            </c:numRef>
          </c:val>
          <c:extLst>
            <c:ext xmlns:c16="http://schemas.microsoft.com/office/drawing/2014/chart" uri="{C3380CC4-5D6E-409C-BE32-E72D297353CC}">
              <c16:uniqueId val="{00000000-FEB4-FC44-BF84-2704ABB91040}"/>
            </c:ext>
          </c:extLst>
        </c:ser>
        <c:dLbls>
          <c:dLblPos val="inEnd"/>
          <c:showLegendKey val="0"/>
          <c:showVal val="1"/>
          <c:showCatName val="0"/>
          <c:showSerName val="0"/>
          <c:showPercent val="0"/>
          <c:showBubbleSize val="0"/>
        </c:dLbls>
        <c:gapWidth val="41"/>
        <c:axId val="519910016"/>
        <c:axId val="519911728"/>
      </c:barChart>
      <c:catAx>
        <c:axId val="51991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19911728"/>
        <c:crosses val="autoZero"/>
        <c:auto val="1"/>
        <c:lblAlgn val="ctr"/>
        <c:lblOffset val="100"/>
        <c:noMultiLvlLbl val="0"/>
      </c:catAx>
      <c:valAx>
        <c:axId val="519911728"/>
        <c:scaling>
          <c:orientation val="minMax"/>
        </c:scaling>
        <c:delete val="1"/>
        <c:axPos val="l"/>
        <c:numFmt formatCode="General" sourceLinked="1"/>
        <c:majorTickMark val="none"/>
        <c:minorTickMark val="none"/>
        <c:tickLblPos val="nextTo"/>
        <c:crossAx val="51991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pivot!$B$70:$B$71</c:f>
              <c:strCache>
                <c:ptCount val="1"/>
                <c:pt idx="0">
                  <c:v>High</c:v>
                </c:pt>
              </c:strCache>
            </c:strRef>
          </c:tx>
          <c:spPr>
            <a:solidFill>
              <a:schemeClr val="accent1"/>
            </a:solidFill>
            <a:ln>
              <a:noFill/>
            </a:ln>
            <a:effectLst/>
          </c:spPr>
          <c:invertIfNegative val="0"/>
          <c:cat>
            <c:strRef>
              <c:f>pivot!$A$72:$A$75</c:f>
              <c:strCache>
                <c:ptCount val="3"/>
                <c:pt idx="0">
                  <c:v>Early Morning</c:v>
                </c:pt>
                <c:pt idx="1">
                  <c:v>Evening</c:v>
                </c:pt>
                <c:pt idx="2">
                  <c:v>Late Night</c:v>
                </c:pt>
              </c:strCache>
            </c:strRef>
          </c:cat>
          <c:val>
            <c:numRef>
              <c:f>pivot!$B$72:$B$75</c:f>
              <c:numCache>
                <c:formatCode>General</c:formatCode>
                <c:ptCount val="3"/>
                <c:pt idx="0">
                  <c:v>115</c:v>
                </c:pt>
                <c:pt idx="1">
                  <c:v>235</c:v>
                </c:pt>
                <c:pt idx="2">
                  <c:v>66</c:v>
                </c:pt>
              </c:numCache>
            </c:numRef>
          </c:val>
          <c:extLst>
            <c:ext xmlns:c16="http://schemas.microsoft.com/office/drawing/2014/chart" uri="{C3380CC4-5D6E-409C-BE32-E72D297353CC}">
              <c16:uniqueId val="{00000000-CE06-EF45-823B-E8B89A36E3A1}"/>
            </c:ext>
          </c:extLst>
        </c:ser>
        <c:ser>
          <c:idx val="1"/>
          <c:order val="1"/>
          <c:tx>
            <c:strRef>
              <c:f>pivot!$C$70:$C$71</c:f>
              <c:strCache>
                <c:ptCount val="1"/>
                <c:pt idx="0">
                  <c:v>Low</c:v>
                </c:pt>
              </c:strCache>
            </c:strRef>
          </c:tx>
          <c:spPr>
            <a:solidFill>
              <a:schemeClr val="accent2"/>
            </a:solidFill>
            <a:ln>
              <a:noFill/>
            </a:ln>
            <a:effectLst/>
          </c:spPr>
          <c:invertIfNegative val="0"/>
          <c:cat>
            <c:strRef>
              <c:f>pivot!$A$72:$A$75</c:f>
              <c:strCache>
                <c:ptCount val="3"/>
                <c:pt idx="0">
                  <c:v>Early Morning</c:v>
                </c:pt>
                <c:pt idx="1">
                  <c:v>Evening</c:v>
                </c:pt>
                <c:pt idx="2">
                  <c:v>Late Night</c:v>
                </c:pt>
              </c:strCache>
            </c:strRef>
          </c:cat>
          <c:val>
            <c:numRef>
              <c:f>pivot!$C$72:$C$75</c:f>
              <c:numCache>
                <c:formatCode>General</c:formatCode>
                <c:ptCount val="3"/>
                <c:pt idx="0">
                  <c:v>48</c:v>
                </c:pt>
                <c:pt idx="1">
                  <c:v>102</c:v>
                </c:pt>
                <c:pt idx="2">
                  <c:v>18</c:v>
                </c:pt>
              </c:numCache>
            </c:numRef>
          </c:val>
          <c:extLst>
            <c:ext xmlns:c16="http://schemas.microsoft.com/office/drawing/2014/chart" uri="{C3380CC4-5D6E-409C-BE32-E72D297353CC}">
              <c16:uniqueId val="{00000001-CE06-EF45-823B-E8B89A36E3A1}"/>
            </c:ext>
          </c:extLst>
        </c:ser>
        <c:ser>
          <c:idx val="2"/>
          <c:order val="2"/>
          <c:tx>
            <c:strRef>
              <c:f>pivot!$D$70:$D$71</c:f>
              <c:strCache>
                <c:ptCount val="1"/>
                <c:pt idx="0">
                  <c:v>Moderate</c:v>
                </c:pt>
              </c:strCache>
            </c:strRef>
          </c:tx>
          <c:spPr>
            <a:solidFill>
              <a:schemeClr val="accent3"/>
            </a:solidFill>
            <a:ln>
              <a:noFill/>
            </a:ln>
            <a:effectLst/>
          </c:spPr>
          <c:invertIfNegative val="0"/>
          <c:cat>
            <c:strRef>
              <c:f>pivot!$A$72:$A$75</c:f>
              <c:strCache>
                <c:ptCount val="3"/>
                <c:pt idx="0">
                  <c:v>Early Morning</c:v>
                </c:pt>
                <c:pt idx="1">
                  <c:v>Evening</c:v>
                </c:pt>
                <c:pt idx="2">
                  <c:v>Late Night</c:v>
                </c:pt>
              </c:strCache>
            </c:strRef>
          </c:cat>
          <c:val>
            <c:numRef>
              <c:f>pivot!$D$72:$D$75</c:f>
              <c:numCache>
                <c:formatCode>General</c:formatCode>
                <c:ptCount val="3"/>
                <c:pt idx="0">
                  <c:v>117</c:v>
                </c:pt>
                <c:pt idx="1">
                  <c:v>243</c:v>
                </c:pt>
                <c:pt idx="2">
                  <c:v>56</c:v>
                </c:pt>
              </c:numCache>
            </c:numRef>
          </c:val>
          <c:extLst>
            <c:ext xmlns:c16="http://schemas.microsoft.com/office/drawing/2014/chart" uri="{C3380CC4-5D6E-409C-BE32-E72D297353CC}">
              <c16:uniqueId val="{00000002-CE06-EF45-823B-E8B89A36E3A1}"/>
            </c:ext>
          </c:extLst>
        </c:ser>
        <c:dLbls>
          <c:showLegendKey val="0"/>
          <c:showVal val="0"/>
          <c:showCatName val="0"/>
          <c:showSerName val="0"/>
          <c:showPercent val="0"/>
          <c:showBubbleSize val="0"/>
        </c:dLbls>
        <c:gapWidth val="219"/>
        <c:overlap val="-27"/>
        <c:axId val="2081510479"/>
        <c:axId val="1960619071"/>
      </c:barChart>
      <c:catAx>
        <c:axId val="208151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19071"/>
        <c:crosses val="autoZero"/>
        <c:auto val="1"/>
        <c:lblAlgn val="ctr"/>
        <c:lblOffset val="100"/>
        <c:noMultiLvlLbl val="0"/>
      </c:catAx>
      <c:valAx>
        <c:axId val="196061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1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[Quick_Commerce.xlsx]pivot!PivotTable2</c:name>
    <c:fmtId val="3"/>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1510938405738"/>
          <c:y val="0.1151873198940772"/>
          <c:w val="0.88468215223097113"/>
          <c:h val="0.66265781615928843"/>
        </c:manualLayout>
      </c:layout>
      <c:barChart>
        <c:barDir val="col"/>
        <c:grouping val="clustered"/>
        <c:varyColors val="0"/>
        <c:ser>
          <c:idx val="0"/>
          <c:order val="0"/>
          <c:tx>
            <c:strRef>
              <c:f>pivot!$B$11</c:f>
              <c:strCache>
                <c:ptCount val="1"/>
                <c:pt idx="0">
                  <c:v>Total</c:v>
                </c:pt>
              </c:strCache>
            </c:strRef>
          </c:tx>
          <c:spPr>
            <a:solidFill>
              <a:schemeClr val="tx2">
                <a:lumMod val="75000"/>
                <a:lumOff val="2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pivot!$A$12:$A$20</c:f>
              <c:strCache>
                <c:ptCount val="8"/>
                <c:pt idx="0">
                  <c:v>Ahmedabad</c:v>
                </c:pt>
                <c:pt idx="1">
                  <c:v>Bengaluru</c:v>
                </c:pt>
                <c:pt idx="2">
                  <c:v>Chennai</c:v>
                </c:pt>
                <c:pt idx="3">
                  <c:v>Delhi NCR</c:v>
                </c:pt>
                <c:pt idx="4">
                  <c:v>Hyderabad</c:v>
                </c:pt>
                <c:pt idx="5">
                  <c:v>Kolkata</c:v>
                </c:pt>
                <c:pt idx="6">
                  <c:v>Mumbai</c:v>
                </c:pt>
                <c:pt idx="7">
                  <c:v>Pune</c:v>
                </c:pt>
              </c:strCache>
            </c:strRef>
          </c:cat>
          <c:val>
            <c:numRef>
              <c:f>pivot!$B$12:$B$20</c:f>
              <c:numCache>
                <c:formatCode>General</c:formatCode>
                <c:ptCount val="8"/>
                <c:pt idx="0">
                  <c:v>134</c:v>
                </c:pt>
                <c:pt idx="1">
                  <c:v>128</c:v>
                </c:pt>
                <c:pt idx="2">
                  <c:v>149</c:v>
                </c:pt>
                <c:pt idx="3">
                  <c:v>133</c:v>
                </c:pt>
                <c:pt idx="4">
                  <c:v>104</c:v>
                </c:pt>
                <c:pt idx="5">
                  <c:v>119</c:v>
                </c:pt>
                <c:pt idx="6">
                  <c:v>108</c:v>
                </c:pt>
                <c:pt idx="7">
                  <c:v>125</c:v>
                </c:pt>
              </c:numCache>
            </c:numRef>
          </c:val>
          <c:extLst>
            <c:ext xmlns:c16="http://schemas.microsoft.com/office/drawing/2014/chart" uri="{C3380CC4-5D6E-409C-BE32-E72D297353CC}">
              <c16:uniqueId val="{00000000-E4A8-2949-820B-43CCDDC3B512}"/>
            </c:ext>
          </c:extLst>
        </c:ser>
        <c:dLbls>
          <c:dLblPos val="inEnd"/>
          <c:showLegendKey val="0"/>
          <c:showVal val="1"/>
          <c:showCatName val="0"/>
          <c:showSerName val="0"/>
          <c:showPercent val="0"/>
          <c:showBubbleSize val="0"/>
        </c:dLbls>
        <c:gapWidth val="41"/>
        <c:axId val="2058631247"/>
        <c:axId val="1757409344"/>
      </c:barChart>
      <c:catAx>
        <c:axId val="2058631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57409344"/>
        <c:crosses val="autoZero"/>
        <c:auto val="1"/>
        <c:lblAlgn val="ctr"/>
        <c:lblOffset val="100"/>
        <c:noMultiLvlLbl val="0"/>
      </c:catAx>
      <c:valAx>
        <c:axId val="1757409344"/>
        <c:scaling>
          <c:orientation val="minMax"/>
        </c:scaling>
        <c:delete val="1"/>
        <c:axPos val="l"/>
        <c:numFmt formatCode="General" sourceLinked="1"/>
        <c:majorTickMark val="none"/>
        <c:minorTickMark val="none"/>
        <c:tickLblPos val="nextTo"/>
        <c:crossAx val="205863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[Quick_Commerce.xlsx]pivot!PivotTable4</c:name>
    <c:fmtId val="3"/>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solidFill>
              <a:schemeClr val="tx2">
                <a:lumMod val="75000"/>
                <a:lumOff val="2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pivot!$A$33:$A$39</c:f>
              <c:strCache>
                <c:ptCount val="6"/>
                <c:pt idx="0">
                  <c:v>COD</c:v>
                </c:pt>
                <c:pt idx="1">
                  <c:v>Credit Card</c:v>
                </c:pt>
                <c:pt idx="2">
                  <c:v>Debit Card</c:v>
                </c:pt>
                <c:pt idx="3">
                  <c:v>Net Banking</c:v>
                </c:pt>
                <c:pt idx="4">
                  <c:v>UPI</c:v>
                </c:pt>
                <c:pt idx="5">
                  <c:v>Wallet</c:v>
                </c:pt>
              </c:strCache>
            </c:strRef>
          </c:cat>
          <c:val>
            <c:numRef>
              <c:f>pivot!$B$33:$B$39</c:f>
              <c:numCache>
                <c:formatCode>General</c:formatCode>
                <c:ptCount val="6"/>
                <c:pt idx="0">
                  <c:v>157</c:v>
                </c:pt>
                <c:pt idx="1">
                  <c:v>178</c:v>
                </c:pt>
                <c:pt idx="2">
                  <c:v>157</c:v>
                </c:pt>
                <c:pt idx="3">
                  <c:v>170</c:v>
                </c:pt>
                <c:pt idx="4">
                  <c:v>175</c:v>
                </c:pt>
                <c:pt idx="5">
                  <c:v>163</c:v>
                </c:pt>
              </c:numCache>
            </c:numRef>
          </c:val>
          <c:extLst>
            <c:ext xmlns:c16="http://schemas.microsoft.com/office/drawing/2014/chart" uri="{C3380CC4-5D6E-409C-BE32-E72D297353CC}">
              <c16:uniqueId val="{00000000-38E4-A642-89EE-1DB6503883F1}"/>
            </c:ext>
          </c:extLst>
        </c:ser>
        <c:dLbls>
          <c:dLblPos val="inEnd"/>
          <c:showLegendKey val="0"/>
          <c:showVal val="1"/>
          <c:showCatName val="0"/>
          <c:showSerName val="0"/>
          <c:showPercent val="0"/>
          <c:showBubbleSize val="0"/>
        </c:dLbls>
        <c:gapWidth val="41"/>
        <c:axId val="519910016"/>
        <c:axId val="519911728"/>
      </c:barChart>
      <c:catAx>
        <c:axId val="51991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19911728"/>
        <c:crosses val="autoZero"/>
        <c:auto val="1"/>
        <c:lblAlgn val="ctr"/>
        <c:lblOffset val="100"/>
        <c:noMultiLvlLbl val="0"/>
      </c:catAx>
      <c:valAx>
        <c:axId val="519911728"/>
        <c:scaling>
          <c:orientation val="minMax"/>
        </c:scaling>
        <c:delete val="1"/>
        <c:axPos val="l"/>
        <c:numFmt formatCode="General" sourceLinked="1"/>
        <c:majorTickMark val="none"/>
        <c:minorTickMark val="none"/>
        <c:tickLblPos val="nextTo"/>
        <c:crossAx val="51991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[Quick_Commerce.xlsx]pivot!PivotTable1</c:name>
    <c:fmtId val="8"/>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solidFill>
            <a:schemeClr val="accent3">
              <a:lumMod val="60000"/>
              <a:lumOff val="40000"/>
            </a:schemeClr>
          </a:solidFill>
          <a:ln>
            <a:solidFill>
              <a:schemeClr val="accent1">
                <a:lumMod val="75000"/>
              </a:schemeClr>
            </a:solidFill>
          </a:ln>
          <a:effectLst>
            <a:outerShdw blurRad="57150" dist="19050" dir="5400000" algn="ctr" rotWithShape="0">
              <a:srgbClr val="000000">
                <a:alpha val="63000"/>
              </a:srgbClr>
            </a:outerShdw>
          </a:effectLst>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33-A04F-B5CE-7A0FFB51F05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33-A04F-B5CE-7A0FFB51F05E}"/>
              </c:ext>
            </c:extLst>
          </c:dPt>
          <c:dPt>
            <c:idx val="2"/>
            <c:bubble3D val="0"/>
            <c:spPr>
              <a:solidFill>
                <a:schemeClr val="accent3">
                  <a:lumMod val="60000"/>
                  <a:lumOff val="40000"/>
                </a:schemeClr>
              </a:solidFill>
              <a:ln>
                <a:solidFill>
                  <a:schemeClr val="accent1">
                    <a:lumMod val="7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33-A04F-B5CE-7A0FFB51F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pivot!$A$4:$A$7</c:f>
              <c:strCache>
                <c:ptCount val="3"/>
                <c:pt idx="0">
                  <c:v>cancelled</c:v>
                </c:pt>
                <c:pt idx="1">
                  <c:v>delayed</c:v>
                </c:pt>
                <c:pt idx="2">
                  <c:v>delivered</c:v>
                </c:pt>
              </c:strCache>
            </c:strRef>
          </c:cat>
          <c:val>
            <c:numRef>
              <c:f>pivot!$B$4:$B$7</c:f>
              <c:numCache>
                <c:formatCode>General</c:formatCode>
                <c:ptCount val="3"/>
                <c:pt idx="0">
                  <c:v>75</c:v>
                </c:pt>
                <c:pt idx="1">
                  <c:v>131</c:v>
                </c:pt>
                <c:pt idx="2">
                  <c:v>794</c:v>
                </c:pt>
              </c:numCache>
            </c:numRef>
          </c:val>
          <c:extLst>
            <c:ext xmlns:c16="http://schemas.microsoft.com/office/drawing/2014/chart" uri="{C3380CC4-5D6E-409C-BE32-E72D297353CC}">
              <c16:uniqueId val="{00000006-8F33-A04F-B5CE-7A0FFB51F0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accent1">
              <a:shade val="15000"/>
            </a:schemeClr>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[Quick_Commerce.xlsx]pivot!PivotTable6</c:name>
    <c:fmtId val="14"/>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pivot!$B$48</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7B-F648-9896-103049CF2F3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7B-F648-9896-103049CF2F39}"/>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7B-F648-9896-103049CF2F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pivot!$A$49:$A$52</c:f>
              <c:strCache>
                <c:ptCount val="3"/>
                <c:pt idx="0">
                  <c:v>Early Morning</c:v>
                </c:pt>
                <c:pt idx="1">
                  <c:v>Evening</c:v>
                </c:pt>
                <c:pt idx="2">
                  <c:v>Late Night</c:v>
                </c:pt>
              </c:strCache>
            </c:strRef>
          </c:cat>
          <c:val>
            <c:numRef>
              <c:f>pivot!$B$49:$B$52</c:f>
              <c:numCache>
                <c:formatCode>General</c:formatCode>
                <c:ptCount val="3"/>
                <c:pt idx="0">
                  <c:v>280</c:v>
                </c:pt>
                <c:pt idx="1">
                  <c:v>580</c:v>
                </c:pt>
                <c:pt idx="2">
                  <c:v>140</c:v>
                </c:pt>
              </c:numCache>
            </c:numRef>
          </c:val>
          <c:extLst>
            <c:ext xmlns:c16="http://schemas.microsoft.com/office/drawing/2014/chart" uri="{C3380CC4-5D6E-409C-BE32-E72D297353CC}">
              <c16:uniqueId val="{00000006-E57B-F648-9896-103049CF2F39}"/>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tx2">
            <a:lumMod val="75000"/>
            <a:lumOff val="2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hyperlink" Target="#'cancellation_reasons '!A1"/><Relationship Id="rId3" Type="http://schemas.openxmlformats.org/officeDocument/2006/relationships/chart" Target="../charts/chart8.xml"/><Relationship Id="rId7" Type="http://schemas.openxmlformats.org/officeDocument/2006/relationships/hyperlink" Target="#'Delivery Partner'!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Customers'!A1"/><Relationship Id="rId5" Type="http://schemas.openxmlformats.org/officeDocument/2006/relationships/hyperlink" Target="#Orders!A1"/><Relationship Id="rId4" Type="http://schemas.openxmlformats.org/officeDocument/2006/relationships/chart" Target="../charts/chart9.xml"/><Relationship Id="rId9" Type="http://schemas.openxmlformats.org/officeDocument/2006/relationships/hyperlink" Target="#pivot!A1"/></Relationships>
</file>

<file path=xl/drawings/drawing1.xml><?xml version="1.0" encoding="utf-8"?>
<xdr:wsDr xmlns:xdr="http://schemas.openxmlformats.org/drawingml/2006/spreadsheetDrawing" xmlns:a="http://schemas.openxmlformats.org/drawingml/2006/main">
  <xdr:twoCellAnchor>
    <xdr:from>
      <xdr:col>12</xdr:col>
      <xdr:colOff>88900</xdr:colOff>
      <xdr:row>4</xdr:row>
      <xdr:rowOff>63500</xdr:rowOff>
    </xdr:from>
    <xdr:to>
      <xdr:col>15</xdr:col>
      <xdr:colOff>495300</xdr:colOff>
      <xdr:row>12</xdr:row>
      <xdr:rowOff>101600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B05A64-3FA4-2039-37A4-5555434ACCBF}"/>
            </a:ext>
          </a:extLst>
        </xdr:cNvPr>
        <xdr:cNvSpPr/>
      </xdr:nvSpPr>
      <xdr:spPr>
        <a:xfrm>
          <a:off x="14287500" y="876300"/>
          <a:ext cx="2882900" cy="166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9</xdr:col>
      <xdr:colOff>406400</xdr:colOff>
      <xdr:row>12</xdr:row>
      <xdr:rowOff>38100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6001E65-08E4-E949-BE5D-9F615BAC79F7}"/>
            </a:ext>
          </a:extLst>
        </xdr:cNvPr>
        <xdr:cNvSpPr/>
      </xdr:nvSpPr>
      <xdr:spPr>
        <a:xfrm>
          <a:off x="5626100" y="812800"/>
          <a:ext cx="2882900" cy="166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5</xdr:row>
      <xdr:rowOff>0</xdr:rowOff>
    </xdr:from>
    <xdr:to>
      <xdr:col>8</xdr:col>
      <xdr:colOff>406400</xdr:colOff>
      <xdr:row>13</xdr:row>
      <xdr:rowOff>38100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ADDB77-DF0E-0743-95E9-F174B2B12901}"/>
            </a:ext>
          </a:extLst>
        </xdr:cNvPr>
        <xdr:cNvSpPr/>
      </xdr:nvSpPr>
      <xdr:spPr>
        <a:xfrm>
          <a:off x="5092700" y="1016000"/>
          <a:ext cx="2882900" cy="166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7</xdr:row>
      <xdr:rowOff>0</xdr:rowOff>
    </xdr:from>
    <xdr:to>
      <xdr:col>6</xdr:col>
      <xdr:colOff>406400</xdr:colOff>
      <xdr:row>15</xdr:row>
      <xdr:rowOff>38100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4EC7BE-76B7-334D-921D-A4811EEF7343}"/>
            </a:ext>
          </a:extLst>
        </xdr:cNvPr>
        <xdr:cNvSpPr/>
      </xdr:nvSpPr>
      <xdr:spPr>
        <a:xfrm>
          <a:off x="3187700" y="1422400"/>
          <a:ext cx="2882900" cy="166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12700</xdr:colOff>
      <xdr:row>1</xdr:row>
      <xdr:rowOff>127000</xdr:rowOff>
    </xdr:from>
    <xdr:to>
      <xdr:col>8</xdr:col>
      <xdr:colOff>812800</xdr:colOff>
      <xdr:row>14</xdr:row>
      <xdr:rowOff>104772</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B680698D-A1C1-A998-BE75-6FA70CBD749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978400" y="330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120650</xdr:colOff>
      <xdr:row>1</xdr:row>
      <xdr:rowOff>171450</xdr:rowOff>
    </xdr:from>
    <xdr:to>
      <xdr:col>16</xdr:col>
      <xdr:colOff>609600</xdr:colOff>
      <xdr:row>18</xdr:row>
      <xdr:rowOff>88900</xdr:rowOff>
    </xdr:to>
    <xdr:graphicFrame macro="">
      <xdr:nvGraphicFramePr>
        <xdr:cNvPr id="3" name="Chart 2">
          <a:extLst>
            <a:ext uri="{FF2B5EF4-FFF2-40B4-BE49-F238E27FC236}">
              <a16:creationId xmlns:a16="http://schemas.microsoft.com/office/drawing/2014/main" id="{1E9703D9-81EA-77AD-A715-B494A7021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25</xdr:row>
      <xdr:rowOff>44450</xdr:rowOff>
    </xdr:from>
    <xdr:to>
      <xdr:col>11</xdr:col>
      <xdr:colOff>152400</xdr:colOff>
      <xdr:row>38</xdr:row>
      <xdr:rowOff>146050</xdr:rowOff>
    </xdr:to>
    <xdr:graphicFrame macro="">
      <xdr:nvGraphicFramePr>
        <xdr:cNvPr id="4" name="Chart 3">
          <a:extLst>
            <a:ext uri="{FF2B5EF4-FFF2-40B4-BE49-F238E27FC236}">
              <a16:creationId xmlns:a16="http://schemas.microsoft.com/office/drawing/2014/main" id="{BA1426BA-E123-55C1-1EB9-804B68A03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673100</xdr:colOff>
      <xdr:row>40</xdr:row>
      <xdr:rowOff>184150</xdr:rowOff>
    </xdr:from>
    <xdr:to>
      <xdr:col>11</xdr:col>
      <xdr:colOff>292100</xdr:colOff>
      <xdr:row>54</xdr:row>
      <xdr:rowOff>82550</xdr:rowOff>
    </xdr:to>
    <xdr:graphicFrame macro="">
      <xdr:nvGraphicFramePr>
        <xdr:cNvPr id="5" name="Chart 4">
          <a:extLst>
            <a:ext uri="{FF2B5EF4-FFF2-40B4-BE49-F238E27FC236}">
              <a16:creationId xmlns:a16="http://schemas.microsoft.com/office/drawing/2014/main" id="{B2BFA36D-87DC-F4A1-1A96-D8F52D26B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374650</xdr:colOff>
      <xdr:row>30</xdr:row>
      <xdr:rowOff>107950</xdr:rowOff>
    </xdr:from>
    <xdr:to>
      <xdr:col>17</xdr:col>
      <xdr:colOff>819150</xdr:colOff>
      <xdr:row>44</xdr:row>
      <xdr:rowOff>6350</xdr:rowOff>
    </xdr:to>
    <xdr:graphicFrame macro="">
      <xdr:nvGraphicFramePr>
        <xdr:cNvPr id="6" name="Chart 5">
          <a:extLst>
            <a:ext uri="{FF2B5EF4-FFF2-40B4-BE49-F238E27FC236}">
              <a16:creationId xmlns:a16="http://schemas.microsoft.com/office/drawing/2014/main" id="{9271E6B9-68D4-5334-9108-0F4A8103C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431800</xdr:colOff>
      <xdr:row>17</xdr:row>
      <xdr:rowOff>177800</xdr:rowOff>
    </xdr:from>
    <xdr:to>
      <xdr:col>6</xdr:col>
      <xdr:colOff>50800</xdr:colOff>
      <xdr:row>30</xdr:row>
      <xdr:rowOff>155572</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id="{C93C51B5-1DA9-74CE-15CE-DC2465CD9F2B}"/>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187700" y="3632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558800</xdr:colOff>
      <xdr:row>59</xdr:row>
      <xdr:rowOff>95250</xdr:rowOff>
    </xdr:from>
    <xdr:to>
      <xdr:col>12</xdr:col>
      <xdr:colOff>558800</xdr:colOff>
      <xdr:row>72</xdr:row>
      <xdr:rowOff>196850</xdr:rowOff>
    </xdr:to>
    <xdr:graphicFrame macro="">
      <xdr:nvGraphicFramePr>
        <xdr:cNvPr id="9" name="Chart 8">
          <a:extLst>
            <a:ext uri="{FF2B5EF4-FFF2-40B4-BE49-F238E27FC236}">
              <a16:creationId xmlns:a16="http://schemas.microsoft.com/office/drawing/2014/main" id="{2F9E11DB-BFE7-F68A-0264-E7C5E351A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49</xdr:row>
      <xdr:rowOff>0</xdr:rowOff>
    </xdr:from>
    <xdr:to>
      <xdr:col>16</xdr:col>
      <xdr:colOff>431800</xdr:colOff>
      <xdr:row>57</xdr:row>
      <xdr:rowOff>38100</xdr:rowOff>
    </xdr:to>
    <xdr:sp macro="" textlink="">
      <xdr:nvSpPr>
        <xdr:cNvPr id="10" name="Rounded Rectangle 9">
          <a:hlinkClick xmlns:r="http://schemas.openxmlformats.org/officeDocument/2006/relationships" r:id="rId6"/>
          <a:extLst>
            <a:ext uri="{FF2B5EF4-FFF2-40B4-BE49-F238E27FC236}">
              <a16:creationId xmlns:a16="http://schemas.microsoft.com/office/drawing/2014/main" id="{C3FFF04A-1446-3242-A966-CB7E4DBA31BD}"/>
            </a:ext>
          </a:extLst>
        </xdr:cNvPr>
        <xdr:cNvSpPr/>
      </xdr:nvSpPr>
      <xdr:spPr>
        <a:xfrm>
          <a:off x="9880600" y="9956800"/>
          <a:ext cx="2882900" cy="166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84668</xdr:colOff>
      <xdr:row>5</xdr:row>
      <xdr:rowOff>50800</xdr:rowOff>
    </xdr:from>
    <xdr:to>
      <xdr:col>7</xdr:col>
      <xdr:colOff>558801</xdr:colOff>
      <xdr:row>8</xdr:row>
      <xdr:rowOff>118533</xdr:rowOff>
    </xdr:to>
    <xdr:sp macro="" textlink="">
      <xdr:nvSpPr>
        <xdr:cNvPr id="2" name="Rounded Rectangle 1">
          <a:extLst>
            <a:ext uri="{FF2B5EF4-FFF2-40B4-BE49-F238E27FC236}">
              <a16:creationId xmlns:a16="http://schemas.microsoft.com/office/drawing/2014/main" id="{E21794C3-B02E-6A5B-2656-D66BE18FEF0E}"/>
            </a:ext>
          </a:extLst>
        </xdr:cNvPr>
        <xdr:cNvSpPr/>
      </xdr:nvSpPr>
      <xdr:spPr>
        <a:xfrm>
          <a:off x="3403601" y="1066800"/>
          <a:ext cx="2963333" cy="677333"/>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2"/>
              </a:solidFill>
            </a:rPr>
            <a:t>TOTAL</a:t>
          </a:r>
          <a:r>
            <a:rPr lang="en-GB" sz="2400" b="1" baseline="0">
              <a:solidFill>
                <a:schemeClr val="bg2"/>
              </a:solidFill>
            </a:rPr>
            <a:t> ORDERS</a:t>
          </a:r>
          <a:endParaRPr lang="en-GB" sz="2400" b="1">
            <a:solidFill>
              <a:schemeClr val="bg2"/>
            </a:solidFill>
          </a:endParaRPr>
        </a:p>
      </xdr:txBody>
    </xdr:sp>
    <xdr:clientData/>
  </xdr:twoCellAnchor>
  <xdr:twoCellAnchor>
    <xdr:from>
      <xdr:col>8</xdr:col>
      <xdr:colOff>524934</xdr:colOff>
      <xdr:row>5</xdr:row>
      <xdr:rowOff>33866</xdr:rowOff>
    </xdr:from>
    <xdr:to>
      <xdr:col>12</xdr:col>
      <xdr:colOff>169334</xdr:colOff>
      <xdr:row>8</xdr:row>
      <xdr:rowOff>101599</xdr:rowOff>
    </xdr:to>
    <xdr:sp macro="" textlink="">
      <xdr:nvSpPr>
        <xdr:cNvPr id="3" name="Rounded Rectangle 2">
          <a:extLst>
            <a:ext uri="{FF2B5EF4-FFF2-40B4-BE49-F238E27FC236}">
              <a16:creationId xmlns:a16="http://schemas.microsoft.com/office/drawing/2014/main" id="{6D68B2D5-9434-6B84-60F4-4656176707A0}"/>
            </a:ext>
          </a:extLst>
        </xdr:cNvPr>
        <xdr:cNvSpPr/>
      </xdr:nvSpPr>
      <xdr:spPr>
        <a:xfrm>
          <a:off x="7162801" y="1049866"/>
          <a:ext cx="2963333" cy="677333"/>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2"/>
              </a:solidFill>
            </a:rPr>
            <a:t>REVENUE</a:t>
          </a:r>
        </a:p>
      </xdr:txBody>
    </xdr:sp>
    <xdr:clientData/>
  </xdr:twoCellAnchor>
  <xdr:twoCellAnchor>
    <xdr:from>
      <xdr:col>13</xdr:col>
      <xdr:colOff>84668</xdr:colOff>
      <xdr:row>5</xdr:row>
      <xdr:rowOff>33866</xdr:rowOff>
    </xdr:from>
    <xdr:to>
      <xdr:col>16</xdr:col>
      <xdr:colOff>558801</xdr:colOff>
      <xdr:row>8</xdr:row>
      <xdr:rowOff>101599</xdr:rowOff>
    </xdr:to>
    <xdr:sp macro="" textlink="">
      <xdr:nvSpPr>
        <xdr:cNvPr id="4" name="Rounded Rectangle 3">
          <a:extLst>
            <a:ext uri="{FF2B5EF4-FFF2-40B4-BE49-F238E27FC236}">
              <a16:creationId xmlns:a16="http://schemas.microsoft.com/office/drawing/2014/main" id="{DFE84385-E4E1-E93D-F2E2-E03BC7FB2FBE}"/>
            </a:ext>
          </a:extLst>
        </xdr:cNvPr>
        <xdr:cNvSpPr/>
      </xdr:nvSpPr>
      <xdr:spPr>
        <a:xfrm>
          <a:off x="10871201" y="1049866"/>
          <a:ext cx="2963333" cy="677333"/>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2"/>
              </a:solidFill>
            </a:rPr>
            <a:t>AVG</a:t>
          </a:r>
          <a:r>
            <a:rPr lang="en-GB" sz="2400" b="1" baseline="0">
              <a:solidFill>
                <a:schemeClr val="bg2"/>
              </a:solidFill>
            </a:rPr>
            <a:t> DELIVERY TIME</a:t>
          </a:r>
          <a:endParaRPr lang="en-GB" sz="2400" b="1">
            <a:solidFill>
              <a:schemeClr val="bg2"/>
            </a:solidFill>
          </a:endParaRPr>
        </a:p>
      </xdr:txBody>
    </xdr:sp>
    <xdr:clientData/>
  </xdr:twoCellAnchor>
  <xdr:twoCellAnchor>
    <xdr:from>
      <xdr:col>17</xdr:col>
      <xdr:colOff>338668</xdr:colOff>
      <xdr:row>5</xdr:row>
      <xdr:rowOff>33866</xdr:rowOff>
    </xdr:from>
    <xdr:to>
      <xdr:col>20</xdr:col>
      <xdr:colOff>812801</xdr:colOff>
      <xdr:row>8</xdr:row>
      <xdr:rowOff>101599</xdr:rowOff>
    </xdr:to>
    <xdr:sp macro="" textlink="">
      <xdr:nvSpPr>
        <xdr:cNvPr id="5" name="Rounded Rectangle 4">
          <a:extLst>
            <a:ext uri="{FF2B5EF4-FFF2-40B4-BE49-F238E27FC236}">
              <a16:creationId xmlns:a16="http://schemas.microsoft.com/office/drawing/2014/main" id="{F5440CCD-6E7E-5D99-9D03-7AE6BCDC1CFB}"/>
            </a:ext>
          </a:extLst>
        </xdr:cNvPr>
        <xdr:cNvSpPr/>
      </xdr:nvSpPr>
      <xdr:spPr>
        <a:xfrm>
          <a:off x="14444135" y="1049866"/>
          <a:ext cx="2963333" cy="677333"/>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2"/>
              </a:solidFill>
            </a:rPr>
            <a:t>CANCELLATION%</a:t>
          </a:r>
        </a:p>
      </xdr:txBody>
    </xdr:sp>
    <xdr:clientData/>
  </xdr:twoCellAnchor>
  <xdr:twoCellAnchor>
    <xdr:from>
      <xdr:col>4</xdr:col>
      <xdr:colOff>287867</xdr:colOff>
      <xdr:row>9</xdr:row>
      <xdr:rowOff>50800</xdr:rowOff>
    </xdr:from>
    <xdr:to>
      <xdr:col>7</xdr:col>
      <xdr:colOff>440267</xdr:colOff>
      <xdr:row>18</xdr:row>
      <xdr:rowOff>84666</xdr:rowOff>
    </xdr:to>
    <xdr:sp macro="" textlink="pivot!H20">
      <xdr:nvSpPr>
        <xdr:cNvPr id="6" name="Oval 5">
          <a:extLst>
            <a:ext uri="{FF2B5EF4-FFF2-40B4-BE49-F238E27FC236}">
              <a16:creationId xmlns:a16="http://schemas.microsoft.com/office/drawing/2014/main" id="{F5EECABF-F622-108B-ECDA-9F9FBD781C6D}"/>
            </a:ext>
          </a:extLst>
        </xdr:cNvPr>
        <xdr:cNvSpPr/>
      </xdr:nvSpPr>
      <xdr:spPr>
        <a:xfrm>
          <a:off x="3606800" y="1879600"/>
          <a:ext cx="2641600" cy="1862666"/>
        </a:xfrm>
        <a:prstGeom prst="ellipse">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9DA49D-E2BB-114E-9C28-A1860366BC6E}" type="TxLink">
            <a:rPr lang="en-US" sz="2800" b="1" i="0" u="none" strike="noStrike">
              <a:solidFill>
                <a:schemeClr val="bg2"/>
              </a:solidFill>
              <a:latin typeface="Aptos Narrow"/>
            </a:rPr>
            <a:pPr algn="ctr"/>
            <a:t>1000</a:t>
          </a:fld>
          <a:endParaRPr lang="en-GB" sz="2400" b="1">
            <a:solidFill>
              <a:schemeClr val="bg2"/>
            </a:solidFill>
          </a:endParaRPr>
        </a:p>
      </xdr:txBody>
    </xdr:sp>
    <xdr:clientData/>
  </xdr:twoCellAnchor>
  <xdr:twoCellAnchor>
    <xdr:from>
      <xdr:col>8</xdr:col>
      <xdr:colOff>728133</xdr:colOff>
      <xdr:row>9</xdr:row>
      <xdr:rowOff>0</xdr:rowOff>
    </xdr:from>
    <xdr:to>
      <xdr:col>12</xdr:col>
      <xdr:colOff>50800</xdr:colOff>
      <xdr:row>18</xdr:row>
      <xdr:rowOff>33866</xdr:rowOff>
    </xdr:to>
    <xdr:sp macro="" textlink="pivot!H21">
      <xdr:nvSpPr>
        <xdr:cNvPr id="7" name="Oval 6">
          <a:extLst>
            <a:ext uri="{FF2B5EF4-FFF2-40B4-BE49-F238E27FC236}">
              <a16:creationId xmlns:a16="http://schemas.microsoft.com/office/drawing/2014/main" id="{D9EE3F0F-7056-AA59-5700-329AB026950D}"/>
            </a:ext>
          </a:extLst>
        </xdr:cNvPr>
        <xdr:cNvSpPr/>
      </xdr:nvSpPr>
      <xdr:spPr>
        <a:xfrm>
          <a:off x="7366000" y="1828800"/>
          <a:ext cx="2641600" cy="1862666"/>
        </a:xfrm>
        <a:prstGeom prst="ellipse">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8AF8C0-E4CD-8646-A04F-8EFB1CCB2E6B}" type="TxLink">
            <a:rPr lang="en-US" sz="2000" b="1" i="0" u="none" strike="noStrike">
              <a:solidFill>
                <a:schemeClr val="bg2"/>
              </a:solidFill>
              <a:latin typeface="Aptos Narrow"/>
            </a:rPr>
            <a:pPr algn="ctr"/>
            <a:t>₹13,00,053.36</a:t>
          </a:fld>
          <a:endParaRPr lang="en-GB" sz="1800" b="1">
            <a:solidFill>
              <a:schemeClr val="bg2"/>
            </a:solidFill>
          </a:endParaRPr>
        </a:p>
      </xdr:txBody>
    </xdr:sp>
    <xdr:clientData/>
  </xdr:twoCellAnchor>
  <xdr:twoCellAnchor>
    <xdr:from>
      <xdr:col>13</xdr:col>
      <xdr:colOff>270934</xdr:colOff>
      <xdr:row>8</xdr:row>
      <xdr:rowOff>169333</xdr:rowOff>
    </xdr:from>
    <xdr:to>
      <xdr:col>16</xdr:col>
      <xdr:colOff>423334</xdr:colOff>
      <xdr:row>17</xdr:row>
      <xdr:rowOff>203199</xdr:rowOff>
    </xdr:to>
    <xdr:sp macro="" textlink="pivot!H22">
      <xdr:nvSpPr>
        <xdr:cNvPr id="8" name="Oval 7">
          <a:extLst>
            <a:ext uri="{FF2B5EF4-FFF2-40B4-BE49-F238E27FC236}">
              <a16:creationId xmlns:a16="http://schemas.microsoft.com/office/drawing/2014/main" id="{4C3497EB-B8A6-59C4-0193-76F96047FFD1}"/>
            </a:ext>
          </a:extLst>
        </xdr:cNvPr>
        <xdr:cNvSpPr/>
      </xdr:nvSpPr>
      <xdr:spPr>
        <a:xfrm>
          <a:off x="11057467" y="1794933"/>
          <a:ext cx="2641600" cy="1862666"/>
        </a:xfrm>
        <a:prstGeom prst="ellipse">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1976DF-770D-764B-AEBE-F0CA9912D0CE}" type="TxLink">
            <a:rPr lang="en-US" sz="2800" b="1" i="0" u="none" strike="noStrike">
              <a:solidFill>
                <a:schemeClr val="bg2"/>
              </a:solidFill>
              <a:latin typeface="Aptos Narrow"/>
            </a:rPr>
            <a:pPr algn="ctr"/>
            <a:t>17.87</a:t>
          </a:fld>
          <a:endParaRPr lang="en-GB" sz="2400" b="1">
            <a:solidFill>
              <a:schemeClr val="bg2"/>
            </a:solidFill>
          </a:endParaRPr>
        </a:p>
      </xdr:txBody>
    </xdr:sp>
    <xdr:clientData/>
  </xdr:twoCellAnchor>
  <xdr:twoCellAnchor>
    <xdr:from>
      <xdr:col>17</xdr:col>
      <xdr:colOff>609600</xdr:colOff>
      <xdr:row>8</xdr:row>
      <xdr:rowOff>169333</xdr:rowOff>
    </xdr:from>
    <xdr:to>
      <xdr:col>20</xdr:col>
      <xdr:colOff>762000</xdr:colOff>
      <xdr:row>17</xdr:row>
      <xdr:rowOff>203199</xdr:rowOff>
    </xdr:to>
    <xdr:sp macro="" textlink="pivot!H23">
      <xdr:nvSpPr>
        <xdr:cNvPr id="9" name="Oval 8">
          <a:extLst>
            <a:ext uri="{FF2B5EF4-FFF2-40B4-BE49-F238E27FC236}">
              <a16:creationId xmlns:a16="http://schemas.microsoft.com/office/drawing/2014/main" id="{9AB2DB2D-4980-DA1D-98C0-A06F9BFE0EB3}"/>
            </a:ext>
          </a:extLst>
        </xdr:cNvPr>
        <xdr:cNvSpPr/>
      </xdr:nvSpPr>
      <xdr:spPr>
        <a:xfrm>
          <a:off x="14715067" y="1794933"/>
          <a:ext cx="2641600" cy="1862666"/>
        </a:xfrm>
        <a:prstGeom prst="ellipse">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202B54-8AA2-DB46-ADDC-2140DFBE4767}" type="TxLink">
            <a:rPr lang="en-US" sz="2800" b="1" i="0" u="none" strike="noStrike">
              <a:solidFill>
                <a:schemeClr val="bg2"/>
              </a:solidFill>
              <a:latin typeface="Aptos Narrow"/>
            </a:rPr>
            <a:pPr algn="ctr"/>
            <a:t>7.50%</a:t>
          </a:fld>
          <a:endParaRPr lang="en-GB" sz="2400" b="1">
            <a:solidFill>
              <a:schemeClr val="bg2"/>
            </a:solidFill>
          </a:endParaRPr>
        </a:p>
      </xdr:txBody>
    </xdr:sp>
    <xdr:clientData/>
  </xdr:twoCellAnchor>
  <xdr:twoCellAnchor editAs="oneCell">
    <xdr:from>
      <xdr:col>0</xdr:col>
      <xdr:colOff>220132</xdr:colOff>
      <xdr:row>0</xdr:row>
      <xdr:rowOff>0</xdr:rowOff>
    </xdr:from>
    <xdr:to>
      <xdr:col>3</xdr:col>
      <xdr:colOff>575733</xdr:colOff>
      <xdr:row>27</xdr:row>
      <xdr:rowOff>67732</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FF42D21A-6463-C648-A980-24F52DF724B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20132" y="0"/>
              <a:ext cx="2844801" cy="55541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220133</xdr:colOff>
      <xdr:row>28</xdr:row>
      <xdr:rowOff>33867</xdr:rowOff>
    </xdr:from>
    <xdr:to>
      <xdr:col>3</xdr:col>
      <xdr:colOff>508000</xdr:colOff>
      <xdr:row>47</xdr:row>
      <xdr:rowOff>0</xdr:rowOff>
    </xdr:to>
    <mc:AlternateContent xmlns:mc="http://schemas.openxmlformats.org/markup-compatibility/2006" xmlns:a14="http://schemas.microsoft.com/office/drawing/2010/main">
      <mc:Choice Requires="a14">
        <xdr:graphicFrame macro="">
          <xdr:nvGraphicFramePr>
            <xdr:cNvPr id="11" name="payment_mode 1">
              <a:extLst>
                <a:ext uri="{FF2B5EF4-FFF2-40B4-BE49-F238E27FC236}">
                  <a16:creationId xmlns:a16="http://schemas.microsoft.com/office/drawing/2014/main" id="{8CAC5C6B-1726-AB47-BE3F-E98DA1017ED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220133" y="5723467"/>
              <a:ext cx="2777067" cy="38269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711200</xdr:colOff>
      <xdr:row>18</xdr:row>
      <xdr:rowOff>169334</xdr:rowOff>
    </xdr:from>
    <xdr:to>
      <xdr:col>15</xdr:col>
      <xdr:colOff>118533</xdr:colOff>
      <xdr:row>32</xdr:row>
      <xdr:rowOff>186267</xdr:rowOff>
    </xdr:to>
    <xdr:sp macro="" textlink="">
      <xdr:nvSpPr>
        <xdr:cNvPr id="12" name="Rounded Rectangle 11">
          <a:extLst>
            <a:ext uri="{FF2B5EF4-FFF2-40B4-BE49-F238E27FC236}">
              <a16:creationId xmlns:a16="http://schemas.microsoft.com/office/drawing/2014/main" id="{9FE0E70E-E7F0-B0A5-3C2F-4C0E9E86AA6A}"/>
            </a:ext>
          </a:extLst>
        </xdr:cNvPr>
        <xdr:cNvSpPr/>
      </xdr:nvSpPr>
      <xdr:spPr>
        <a:xfrm>
          <a:off x="8178800" y="3826934"/>
          <a:ext cx="4385733" cy="2861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440267</xdr:colOff>
      <xdr:row>18</xdr:row>
      <xdr:rowOff>152400</xdr:rowOff>
    </xdr:from>
    <xdr:to>
      <xdr:col>20</xdr:col>
      <xdr:colOff>677333</xdr:colOff>
      <xdr:row>32</xdr:row>
      <xdr:rowOff>169333</xdr:rowOff>
    </xdr:to>
    <xdr:sp macro="" textlink="">
      <xdr:nvSpPr>
        <xdr:cNvPr id="13" name="Rounded Rectangle 12">
          <a:extLst>
            <a:ext uri="{FF2B5EF4-FFF2-40B4-BE49-F238E27FC236}">
              <a16:creationId xmlns:a16="http://schemas.microsoft.com/office/drawing/2014/main" id="{D2265B40-EEF3-302C-531D-44E1D32AB3C3}"/>
            </a:ext>
          </a:extLst>
        </xdr:cNvPr>
        <xdr:cNvSpPr/>
      </xdr:nvSpPr>
      <xdr:spPr>
        <a:xfrm>
          <a:off x="12886267" y="3810000"/>
          <a:ext cx="4385733" cy="2861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491067</xdr:colOff>
      <xdr:row>33</xdr:row>
      <xdr:rowOff>84666</xdr:rowOff>
    </xdr:from>
    <xdr:to>
      <xdr:col>20</xdr:col>
      <xdr:colOff>728133</xdr:colOff>
      <xdr:row>47</xdr:row>
      <xdr:rowOff>101599</xdr:rowOff>
    </xdr:to>
    <xdr:sp macro="" textlink="">
      <xdr:nvSpPr>
        <xdr:cNvPr id="14" name="Rounded Rectangle 13">
          <a:extLst>
            <a:ext uri="{FF2B5EF4-FFF2-40B4-BE49-F238E27FC236}">
              <a16:creationId xmlns:a16="http://schemas.microsoft.com/office/drawing/2014/main" id="{A1006687-9811-B856-FFF2-EBC38CBEC518}"/>
            </a:ext>
          </a:extLst>
        </xdr:cNvPr>
        <xdr:cNvSpPr/>
      </xdr:nvSpPr>
      <xdr:spPr>
        <a:xfrm>
          <a:off x="12937067" y="6790266"/>
          <a:ext cx="4385733" cy="2861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745067</xdr:colOff>
      <xdr:row>33</xdr:row>
      <xdr:rowOff>101601</xdr:rowOff>
    </xdr:from>
    <xdr:to>
      <xdr:col>15</xdr:col>
      <xdr:colOff>152400</xdr:colOff>
      <xdr:row>47</xdr:row>
      <xdr:rowOff>118534</xdr:rowOff>
    </xdr:to>
    <xdr:sp macro="" textlink="">
      <xdr:nvSpPr>
        <xdr:cNvPr id="15" name="Rounded Rectangle 14">
          <a:extLst>
            <a:ext uri="{FF2B5EF4-FFF2-40B4-BE49-F238E27FC236}">
              <a16:creationId xmlns:a16="http://schemas.microsoft.com/office/drawing/2014/main" id="{2C9D3607-1D93-8212-F832-C9879B8C1381}"/>
            </a:ext>
          </a:extLst>
        </xdr:cNvPr>
        <xdr:cNvSpPr/>
      </xdr:nvSpPr>
      <xdr:spPr>
        <a:xfrm>
          <a:off x="8212667" y="6807201"/>
          <a:ext cx="4385733" cy="2861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575733</xdr:colOff>
      <xdr:row>17</xdr:row>
      <xdr:rowOff>186266</xdr:rowOff>
    </xdr:from>
    <xdr:to>
      <xdr:col>15</xdr:col>
      <xdr:colOff>101600</xdr:colOff>
      <xdr:row>33</xdr:row>
      <xdr:rowOff>16933</xdr:rowOff>
    </xdr:to>
    <xdr:graphicFrame macro="">
      <xdr:nvGraphicFramePr>
        <xdr:cNvPr id="16" name="Chart 15">
          <a:extLst>
            <a:ext uri="{FF2B5EF4-FFF2-40B4-BE49-F238E27FC236}">
              <a16:creationId xmlns:a16="http://schemas.microsoft.com/office/drawing/2014/main" id="{5DF3670D-8100-534A-B8F2-4A4C98331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440267</xdr:colOff>
      <xdr:row>18</xdr:row>
      <xdr:rowOff>152399</xdr:rowOff>
    </xdr:from>
    <xdr:to>
      <xdr:col>20</xdr:col>
      <xdr:colOff>694266</xdr:colOff>
      <xdr:row>32</xdr:row>
      <xdr:rowOff>0</xdr:rowOff>
    </xdr:to>
    <xdr:graphicFrame macro="">
      <xdr:nvGraphicFramePr>
        <xdr:cNvPr id="17" name="Chart 16">
          <a:extLst>
            <a:ext uri="{FF2B5EF4-FFF2-40B4-BE49-F238E27FC236}">
              <a16:creationId xmlns:a16="http://schemas.microsoft.com/office/drawing/2014/main" id="{082FDADD-F4F4-CC42-AF8B-52FF75D28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745067</xdr:colOff>
      <xdr:row>33</xdr:row>
      <xdr:rowOff>101601</xdr:rowOff>
    </xdr:from>
    <xdr:to>
      <xdr:col>15</xdr:col>
      <xdr:colOff>491067</xdr:colOff>
      <xdr:row>47</xdr:row>
      <xdr:rowOff>1</xdr:rowOff>
    </xdr:to>
    <xdr:graphicFrame macro="">
      <xdr:nvGraphicFramePr>
        <xdr:cNvPr id="18" name="Chart 17">
          <a:extLst>
            <a:ext uri="{FF2B5EF4-FFF2-40B4-BE49-F238E27FC236}">
              <a16:creationId xmlns:a16="http://schemas.microsoft.com/office/drawing/2014/main" id="{0BAA2F51-03EA-144C-AFB9-A8FFAB51F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389467</xdr:colOff>
      <xdr:row>33</xdr:row>
      <xdr:rowOff>101600</xdr:rowOff>
    </xdr:from>
    <xdr:to>
      <xdr:col>21</xdr:col>
      <xdr:colOff>118533</xdr:colOff>
      <xdr:row>48</xdr:row>
      <xdr:rowOff>50800</xdr:rowOff>
    </xdr:to>
    <xdr:graphicFrame macro="">
      <xdr:nvGraphicFramePr>
        <xdr:cNvPr id="19" name="Chart 18">
          <a:extLst>
            <a:ext uri="{FF2B5EF4-FFF2-40B4-BE49-F238E27FC236}">
              <a16:creationId xmlns:a16="http://schemas.microsoft.com/office/drawing/2014/main" id="{5ECF0FC0-A8AC-AB42-9F03-089487938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101600</xdr:colOff>
      <xdr:row>0</xdr:row>
      <xdr:rowOff>101600</xdr:rowOff>
    </xdr:from>
    <xdr:to>
      <xdr:col>23</xdr:col>
      <xdr:colOff>745066</xdr:colOff>
      <xdr:row>7</xdr:row>
      <xdr:rowOff>84666</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id="{86FE12DD-3736-EBB8-2487-4148107E2B9F}"/>
            </a:ext>
          </a:extLst>
        </xdr:cNvPr>
        <xdr:cNvSpPr/>
      </xdr:nvSpPr>
      <xdr:spPr>
        <a:xfrm>
          <a:off x="17526000" y="101600"/>
          <a:ext cx="2302933" cy="140546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bg2"/>
              </a:solidFill>
            </a:rPr>
            <a:t>GO TO ORDERS</a:t>
          </a:r>
        </a:p>
      </xdr:txBody>
    </xdr:sp>
    <xdr:clientData/>
  </xdr:twoCellAnchor>
  <xdr:twoCellAnchor>
    <xdr:from>
      <xdr:col>21</xdr:col>
      <xdr:colOff>118533</xdr:colOff>
      <xdr:row>9</xdr:row>
      <xdr:rowOff>186267</xdr:rowOff>
    </xdr:from>
    <xdr:to>
      <xdr:col>23</xdr:col>
      <xdr:colOff>761999</xdr:colOff>
      <xdr:row>16</xdr:row>
      <xdr:rowOff>169333</xdr:rowOff>
    </xdr:to>
    <xdr:sp macro="" textlink="">
      <xdr:nvSpPr>
        <xdr:cNvPr id="21" name="Rounded Rectangle 20">
          <a:hlinkClick xmlns:r="http://schemas.openxmlformats.org/officeDocument/2006/relationships" r:id="rId6"/>
          <a:extLst>
            <a:ext uri="{FF2B5EF4-FFF2-40B4-BE49-F238E27FC236}">
              <a16:creationId xmlns:a16="http://schemas.microsoft.com/office/drawing/2014/main" id="{26EE274B-BC17-FC37-C13B-C27C70082024}"/>
            </a:ext>
          </a:extLst>
        </xdr:cNvPr>
        <xdr:cNvSpPr/>
      </xdr:nvSpPr>
      <xdr:spPr>
        <a:xfrm>
          <a:off x="17542933" y="2015067"/>
          <a:ext cx="2302933" cy="140546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bg2"/>
              </a:solidFill>
            </a:rPr>
            <a:t>GO TO CUSTOMERS</a:t>
          </a:r>
        </a:p>
      </xdr:txBody>
    </xdr:sp>
    <xdr:clientData/>
  </xdr:twoCellAnchor>
  <xdr:twoCellAnchor>
    <xdr:from>
      <xdr:col>21</xdr:col>
      <xdr:colOff>84667</xdr:colOff>
      <xdr:row>20</xdr:row>
      <xdr:rowOff>84667</xdr:rowOff>
    </xdr:from>
    <xdr:to>
      <xdr:col>23</xdr:col>
      <xdr:colOff>728133</xdr:colOff>
      <xdr:row>27</xdr:row>
      <xdr:rowOff>67733</xdr:rowOff>
    </xdr:to>
    <xdr:sp macro="" textlink="">
      <xdr:nvSpPr>
        <xdr:cNvPr id="22" name="Rounded Rectangle 21">
          <a:hlinkClick xmlns:r="http://schemas.openxmlformats.org/officeDocument/2006/relationships" r:id="rId7"/>
          <a:extLst>
            <a:ext uri="{FF2B5EF4-FFF2-40B4-BE49-F238E27FC236}">
              <a16:creationId xmlns:a16="http://schemas.microsoft.com/office/drawing/2014/main" id="{A10B1C25-7278-4166-1116-B3C983473553}"/>
            </a:ext>
          </a:extLst>
        </xdr:cNvPr>
        <xdr:cNvSpPr/>
      </xdr:nvSpPr>
      <xdr:spPr>
        <a:xfrm>
          <a:off x="17509067" y="4148667"/>
          <a:ext cx="2302933" cy="140546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bg2"/>
              </a:solidFill>
            </a:rPr>
            <a:t>GO TO DELIVERY PARTNER</a:t>
          </a:r>
        </a:p>
      </xdr:txBody>
    </xdr:sp>
    <xdr:clientData/>
  </xdr:twoCellAnchor>
  <xdr:twoCellAnchor>
    <xdr:from>
      <xdr:col>21</xdr:col>
      <xdr:colOff>118534</xdr:colOff>
      <xdr:row>30</xdr:row>
      <xdr:rowOff>118533</xdr:rowOff>
    </xdr:from>
    <xdr:to>
      <xdr:col>23</xdr:col>
      <xdr:colOff>762000</xdr:colOff>
      <xdr:row>37</xdr:row>
      <xdr:rowOff>101599</xdr:rowOff>
    </xdr:to>
    <xdr:sp macro="" textlink="">
      <xdr:nvSpPr>
        <xdr:cNvPr id="23" name="Rounded Rectangle 22">
          <a:hlinkClick xmlns:r="http://schemas.openxmlformats.org/officeDocument/2006/relationships" r:id="rId8"/>
          <a:extLst>
            <a:ext uri="{FF2B5EF4-FFF2-40B4-BE49-F238E27FC236}">
              <a16:creationId xmlns:a16="http://schemas.microsoft.com/office/drawing/2014/main" id="{0B964CC8-3745-037E-3A62-9DFC1C8208AD}"/>
            </a:ext>
          </a:extLst>
        </xdr:cNvPr>
        <xdr:cNvSpPr/>
      </xdr:nvSpPr>
      <xdr:spPr>
        <a:xfrm>
          <a:off x="17542934" y="6214533"/>
          <a:ext cx="2302933" cy="140546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CANCELLATIONS</a:t>
          </a:r>
        </a:p>
      </xdr:txBody>
    </xdr:sp>
    <xdr:clientData/>
  </xdr:twoCellAnchor>
  <xdr:twoCellAnchor>
    <xdr:from>
      <xdr:col>21</xdr:col>
      <xdr:colOff>169333</xdr:colOff>
      <xdr:row>40</xdr:row>
      <xdr:rowOff>67733</xdr:rowOff>
    </xdr:from>
    <xdr:to>
      <xdr:col>23</xdr:col>
      <xdr:colOff>812799</xdr:colOff>
      <xdr:row>47</xdr:row>
      <xdr:rowOff>50799</xdr:rowOff>
    </xdr:to>
    <xdr:sp macro="" textlink="">
      <xdr:nvSpPr>
        <xdr:cNvPr id="24" name="Rounded Rectangle 23">
          <a:hlinkClick xmlns:r="http://schemas.openxmlformats.org/officeDocument/2006/relationships" r:id="rId9"/>
          <a:extLst>
            <a:ext uri="{FF2B5EF4-FFF2-40B4-BE49-F238E27FC236}">
              <a16:creationId xmlns:a16="http://schemas.microsoft.com/office/drawing/2014/main" id="{83B1246F-FE0C-BBF5-203D-220E5283CBB7}"/>
            </a:ext>
          </a:extLst>
        </xdr:cNvPr>
        <xdr:cNvSpPr/>
      </xdr:nvSpPr>
      <xdr:spPr>
        <a:xfrm>
          <a:off x="17593733" y="8195733"/>
          <a:ext cx="2302933" cy="140546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2"/>
              </a:solidFill>
            </a:rPr>
            <a:t>GO TO PIVOT TABLE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Karve" refreshedDate="46176.551986689818" createdVersion="8" refreshedVersion="8" minRefreshableVersion="3" recordCount="75" xr:uid="{819CED04-14C1-DC44-9B13-99881E5A0DDF}">
  <cacheSource type="worksheet">
    <worksheetSource name="Table6"/>
  </cacheSource>
  <cacheFields count="2">
    <cacheField name="order_id" numFmtId="0">
      <sharedItems/>
    </cacheField>
    <cacheField name="cancel_reason" numFmtId="0">
      <sharedItems count="4">
        <s v="Payment failed"/>
        <s v="High wait time"/>
        <s v="Rider unavailable"/>
        <s v="Store clos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Karve" refreshedDate="46176.574853124999" createdVersion="8" refreshedVersion="8" minRefreshableVersion="3" recordCount="1000" xr:uid="{52A465D1-4B55-1D41-B509-97CA5A80B708}">
  <cacheSource type="worksheet">
    <worksheetSource name="quick_commerce_orders"/>
  </cacheSource>
  <cacheFields count="13">
    <cacheField name="order_id" numFmtId="0">
      <sharedItems/>
    </cacheField>
    <cacheField name="customer_id" numFmtId="0">
      <sharedItems/>
    </cacheField>
    <cacheField name="city" numFmtId="0">
      <sharedItems count="9">
        <s v="Hyderabad"/>
        <s v="Kolkata"/>
        <s v="Mumbai"/>
        <s v="Chennai"/>
        <s v="Ahmedabad"/>
        <s v="Bengaluru"/>
        <s v="Delhi NCR"/>
        <s v="Pune"/>
        <s v="Hyderabad_" u="1"/>
      </sharedItems>
    </cacheField>
    <cacheField name="order_time" numFmtId="22">
      <sharedItems containsSemiMixedTypes="0" containsNonDate="0" containsDate="1" containsString="0" minDate="2026-05-01T00:19:29" maxDate="2026-06-01T23:41:47" count="1000">
        <d v="2026-05-12T13:56:53"/>
        <d v="2026-05-12T01:53:25"/>
        <d v="2026-06-01T05:59:47"/>
        <d v="2026-05-19T01:00:19"/>
        <d v="2026-05-07T10:18:29"/>
        <d v="2026-06-01T04:54:32"/>
        <d v="2026-05-30T08:12:51"/>
        <d v="2026-05-08T10:10:46"/>
        <d v="2026-05-30T20:16:45"/>
        <d v="2026-05-12T00:47:21"/>
        <d v="2026-05-19T18:43:48"/>
        <d v="2026-05-13T05:39:54"/>
        <d v="2026-05-26T13:32:20"/>
        <d v="2026-05-06T12:42:06"/>
        <d v="2026-05-12T04:30:20"/>
        <d v="2026-05-16T00:16:24"/>
        <d v="2026-05-16T14:48:17"/>
        <d v="2026-05-22T09:37:46"/>
        <d v="2026-05-01T08:41:23"/>
        <d v="2026-05-16T01:42:07"/>
        <d v="2026-05-30T09:10:25"/>
        <d v="2026-05-20T22:07:40"/>
        <d v="2026-05-19T11:39:14"/>
        <d v="2026-05-15T04:30:09"/>
        <d v="2026-05-30T23:38:23"/>
        <d v="2026-05-27T22:35:58"/>
        <d v="2026-05-31T17:51:42"/>
        <d v="2026-05-14T07:43:48"/>
        <d v="2026-05-06T16:28:33"/>
        <d v="2026-05-24T02:58:36"/>
        <d v="2026-05-08T01:53:35"/>
        <d v="2026-05-13T18:34:09"/>
        <d v="2026-05-11T10:54:33"/>
        <d v="2026-05-29T03:43:13"/>
        <d v="2026-06-01T02:57:32"/>
        <d v="2026-05-29T01:29:08"/>
        <d v="2026-05-27T14:36:03"/>
        <d v="2026-05-30T21:51:19"/>
        <d v="2026-05-02T12:16:52"/>
        <d v="2026-05-01T23:13:37"/>
        <d v="2026-05-05T01:27:22"/>
        <d v="2026-05-05T17:03:59"/>
        <d v="2026-05-05T15:02:18"/>
        <d v="2026-05-27T05:49:08"/>
        <d v="2026-05-27T11:57:24"/>
        <d v="2026-05-29T12:24:05"/>
        <d v="2026-05-09T20:55:22"/>
        <d v="2026-05-08T05:34:25"/>
        <d v="2026-05-09T23:14:53"/>
        <d v="2026-05-01T00:19:29"/>
        <d v="2026-05-28T17:24:52"/>
        <d v="2026-05-15T07:29:22"/>
        <d v="2026-05-10T08:12:59"/>
        <d v="2026-05-08T01:51:42"/>
        <d v="2026-05-27T19:49:59"/>
        <d v="2026-05-02T07:13:04"/>
        <d v="2026-05-07T19:02:28"/>
        <d v="2026-05-04T07:47:02"/>
        <d v="2026-05-26T14:14:34"/>
        <d v="2026-05-14T01:08:32"/>
        <d v="2026-05-19T07:52:58"/>
        <d v="2026-05-21T18:38:49"/>
        <d v="2026-05-21T07:19:56"/>
        <d v="2026-05-10T21:33:14"/>
        <d v="2026-05-27T09:17:03"/>
        <d v="2026-05-12T20:43:27"/>
        <d v="2026-06-01T01:22:41"/>
        <d v="2026-05-25T16:20:44"/>
        <d v="2026-05-27T13:09:19"/>
        <d v="2026-05-25T05:48:34"/>
        <d v="2026-05-31T07:54:14"/>
        <d v="2026-05-20T22:09:51"/>
        <d v="2026-05-30T01:35:26"/>
        <d v="2026-05-27T17:33:08"/>
        <d v="2026-05-25T07:16:13"/>
        <d v="2026-05-22T20:05:59"/>
        <d v="2026-05-29T11:05:34"/>
        <d v="2026-05-13T01:17:24"/>
        <d v="2026-05-03T02:12:51"/>
        <d v="2026-05-14T15:13:55"/>
        <d v="2026-05-22T09:58:00"/>
        <d v="2026-05-14T06:47:07"/>
        <d v="2026-05-31T07:44:38"/>
        <d v="2026-05-14T12:58:15"/>
        <d v="2026-05-21T09:24:29"/>
        <d v="2026-05-23T09:16:23"/>
        <d v="2026-06-01T14:06:51"/>
        <d v="2026-05-31T10:58:13"/>
        <d v="2026-05-24T10:26:02"/>
        <d v="2026-05-15T23:09:01"/>
        <d v="2026-05-17T17:59:37"/>
        <d v="2026-05-27T09:09:12"/>
        <d v="2026-05-22T07:24:36"/>
        <d v="2026-05-16T15:35:41"/>
        <d v="2026-05-22T08:48:52"/>
        <d v="2026-06-01T23:41:47"/>
        <d v="2026-06-01T14:10:46"/>
        <d v="2026-05-23T05:08:46"/>
        <d v="2026-06-01T05:58:56"/>
        <d v="2026-05-04T16:02:53"/>
        <d v="2026-05-05T21:03:48"/>
        <d v="2026-05-01T13:08:53"/>
        <d v="2026-05-15T02:45:09"/>
        <d v="2026-05-01T06:32:29"/>
        <d v="2026-05-24T01:39:40"/>
        <d v="2026-05-31T21:31:01"/>
        <d v="2026-05-01T17:35:26"/>
        <d v="2026-05-01T00:33:46"/>
        <d v="2026-05-18T17:18:01"/>
        <d v="2026-05-28T05:06:58"/>
        <d v="2026-05-07T16:09:15"/>
        <d v="2026-05-13T19:33:16"/>
        <d v="2026-05-23T08:50:25"/>
        <d v="2026-05-06T11:25:29"/>
        <d v="2026-05-16T22:14:19"/>
        <d v="2026-05-06T20:54:41"/>
        <d v="2026-05-03T02:25:24"/>
        <d v="2026-05-25T17:30:03"/>
        <d v="2026-05-01T22:10:05"/>
        <d v="2026-06-01T13:41:50"/>
        <d v="2026-05-22T18:54:06"/>
        <d v="2026-05-03T07:13:57"/>
        <d v="2026-05-31T08:02:59"/>
        <d v="2026-05-05T21:59:17"/>
        <d v="2026-05-03T05:59:54"/>
        <d v="2026-05-21T00:13:37"/>
        <d v="2026-05-10T22:52:25"/>
        <d v="2026-05-05T09:10:36"/>
        <d v="2026-05-16T18:53:54"/>
        <d v="2026-05-25T21:57:34"/>
        <d v="2026-05-22T12:48:47"/>
        <d v="2026-05-09T22:46:05"/>
        <d v="2026-05-23T01:06:27"/>
        <d v="2026-05-15T02:21:38"/>
        <d v="2026-05-26T10:01:40"/>
        <d v="2026-05-18T14:31:14"/>
        <d v="2026-05-23T17:24:27"/>
        <d v="2026-05-12T21:37:42"/>
        <d v="2026-05-25T02:49:39"/>
        <d v="2026-05-19T07:45:04"/>
        <d v="2026-05-06T08:09:24"/>
        <d v="2026-05-10T23:24:20"/>
        <d v="2026-05-24T03:05:00"/>
        <d v="2026-05-20T14:23:48"/>
        <d v="2026-05-18T03:08:05"/>
        <d v="2026-05-12T13:28:35"/>
        <d v="2026-05-27T03:01:05"/>
        <d v="2026-05-23T17:05:38"/>
        <d v="2026-05-21T12:00:18"/>
        <d v="2026-05-27T12:49:05"/>
        <d v="2026-05-16T18:33:10"/>
        <d v="2026-05-25T05:08:17"/>
        <d v="2026-05-20T08:31:09"/>
        <d v="2026-05-05T05:27:17"/>
        <d v="2026-05-27T09:30:50"/>
        <d v="2026-05-05T11:16:15"/>
        <d v="2026-06-01T19:39:12"/>
        <d v="2026-05-30T03:08:19"/>
        <d v="2026-05-01T12:21:53"/>
        <d v="2026-05-25T10:28:21"/>
        <d v="2026-05-28T20:38:08"/>
        <d v="2026-05-20T10:38:44"/>
        <d v="2026-05-13T15:20:11"/>
        <d v="2026-05-26T10:18:47"/>
        <d v="2026-06-01T18:50:15"/>
        <d v="2026-05-21T12:17:52"/>
        <d v="2026-05-26T11:07:59"/>
        <d v="2026-05-13T18:34:11"/>
        <d v="2026-05-02T23:29:45"/>
        <d v="2026-05-14T14:51:18"/>
        <d v="2026-05-05T13:43:31"/>
        <d v="2026-05-09T20:19:15"/>
        <d v="2026-05-17T21:09:45"/>
        <d v="2026-05-28T12:04:28"/>
        <d v="2026-05-31T18:25:34"/>
        <d v="2026-05-27T17:02:50"/>
        <d v="2026-05-24T22:57:51"/>
        <d v="2026-05-06T03:49:15"/>
        <d v="2026-05-23T05:41:39"/>
        <d v="2026-05-03T18:41:43"/>
        <d v="2026-05-26T10:50:27"/>
        <d v="2026-05-07T00:06:16"/>
        <d v="2026-05-15T16:47:33"/>
        <d v="2026-05-15T14:23:25"/>
        <d v="2026-05-30T21:37:44"/>
        <d v="2026-05-10T11:01:30"/>
        <d v="2026-05-07T09:26:58"/>
        <d v="2026-05-06T03:53:46"/>
        <d v="2026-05-10T11:19:21"/>
        <d v="2026-05-30T06:33:30"/>
        <d v="2026-05-23T15:06:28"/>
        <d v="2026-05-29T10:04:19"/>
        <d v="2026-05-03T22:07:01"/>
        <d v="2026-05-22T20:06:43"/>
        <d v="2026-05-11T23:15:33"/>
        <d v="2026-05-12T17:10:21"/>
        <d v="2026-05-28T14:14:51"/>
        <d v="2026-05-26T20:11:11"/>
        <d v="2026-05-28T12:01:47"/>
        <d v="2026-05-13T14:37:27"/>
        <d v="2026-05-25T00:45:13"/>
        <d v="2026-05-14T08:48:45"/>
        <d v="2026-05-05T18:06:51"/>
        <d v="2026-05-12T11:20:12"/>
        <d v="2026-05-30T03:16:42"/>
        <d v="2026-06-01T16:40:20"/>
        <d v="2026-05-25T19:25:37"/>
        <d v="2026-05-08T11:22:54"/>
        <d v="2026-05-30T19:11:52"/>
        <d v="2026-05-20T19:37:05"/>
        <d v="2026-05-09T10:07:15"/>
        <d v="2026-05-20T03:11:23"/>
        <d v="2026-05-10T16:24:26"/>
        <d v="2026-05-09T18:24:27"/>
        <d v="2026-05-12T15:40:34"/>
        <d v="2026-05-12T17:10:31"/>
        <d v="2026-05-19T04:11:20"/>
        <d v="2026-05-29T19:03:55"/>
        <d v="2026-05-23T00:31:08"/>
        <d v="2026-05-13T12:35:32"/>
        <d v="2026-06-01T13:43:31"/>
        <d v="2026-05-27T22:53:28"/>
        <d v="2026-06-01T05:05:36"/>
        <d v="2026-05-02T07:18:02"/>
        <d v="2026-05-18T07:34:18"/>
        <d v="2026-05-11T14:36:47"/>
        <d v="2026-06-01T17:32:07"/>
        <d v="2026-05-08T08:49:34"/>
        <d v="2026-05-24T17:52:48"/>
        <d v="2026-05-03T23:28:34"/>
        <d v="2026-05-14T13:06:47"/>
        <d v="2026-05-16T09:55:02"/>
        <d v="2026-05-29T08:22:55"/>
        <d v="2026-05-06T14:55:07"/>
        <d v="2026-05-16T06:51:47"/>
        <d v="2026-05-23T22:39:40"/>
        <d v="2026-05-28T05:39:08"/>
        <d v="2026-05-14T06:51:03"/>
        <d v="2026-05-23T17:17:38"/>
        <d v="2026-05-11T10:45:18"/>
        <d v="2026-05-19T18:17:54"/>
        <d v="2026-05-07T04:48:50"/>
        <d v="2026-05-27T01:17:55"/>
        <d v="2026-05-09T22:55:08"/>
        <d v="2026-05-16T04:45:20"/>
        <d v="2026-05-16T21:25:31"/>
        <d v="2026-05-10T18:40:17"/>
        <d v="2026-05-27T12:28:04"/>
        <d v="2026-05-06T12:32:47"/>
        <d v="2026-05-18T22:59:56"/>
        <d v="2026-05-24T14:31:20"/>
        <d v="2026-05-01T23:05:46"/>
        <d v="2026-05-30T20:42:44"/>
        <d v="2026-05-23T02:50:34"/>
        <d v="2026-05-26T06:27:52"/>
        <d v="2026-05-14T15:17:20"/>
        <d v="2026-05-19T10:35:36"/>
        <d v="2026-05-09T18:54:31"/>
        <d v="2026-05-22T21:48:03"/>
        <d v="2026-05-03T03:40:50"/>
        <d v="2026-05-30T00:07:59"/>
        <d v="2026-05-11T14:29:00"/>
        <d v="2026-05-28T06:44:58"/>
        <d v="2026-05-09T20:19:10"/>
        <d v="2026-05-18T02:41:23"/>
        <d v="2026-05-17T02:23:42"/>
        <d v="2026-05-11T01:25:40"/>
        <d v="2026-05-20T23:44:48"/>
        <d v="2026-05-15T13:41:05"/>
        <d v="2026-05-07T00:13:30"/>
        <d v="2026-05-05T04:37:14"/>
        <d v="2026-05-29T00:00:44"/>
        <d v="2026-05-22T03:55:27"/>
        <d v="2026-05-09T15:04:14"/>
        <d v="2026-05-25T02:46:51"/>
        <d v="2026-05-07T03:20:23"/>
        <d v="2026-05-20T04:24:49"/>
        <d v="2026-05-09T20:43:09"/>
        <d v="2026-05-05T16:36:00"/>
        <d v="2026-05-11T14:22:46"/>
        <d v="2026-05-14T20:47:09"/>
        <d v="2026-05-27T19:43:28"/>
        <d v="2026-05-14T02:57:06"/>
        <d v="2026-05-09T03:37:46"/>
        <d v="2026-05-25T11:27:20"/>
        <d v="2026-05-09T07:17:41"/>
        <d v="2026-05-06T07:35:38"/>
        <d v="2026-05-19T22:01:54"/>
        <d v="2026-05-20T06:33:38"/>
        <d v="2026-05-13T23:25:18"/>
        <d v="2026-05-04T07:31:24"/>
        <d v="2026-05-08T07:31:40"/>
        <d v="2026-05-05T16:56:00"/>
        <d v="2026-05-24T10:08:24"/>
        <d v="2026-05-27T11:34:43"/>
        <d v="2026-05-12T15:49:04"/>
        <d v="2026-05-02T18:04:00"/>
        <d v="2026-05-17T06:02:59"/>
        <d v="2026-05-04T12:32:18"/>
        <d v="2026-05-27T13:44:25"/>
        <d v="2026-05-06T20:34:34"/>
        <d v="2026-05-10T08:05:19"/>
        <d v="2026-05-06T16:58:13"/>
        <d v="2026-05-10T17:20:25"/>
        <d v="2026-05-05T09:44:27"/>
        <d v="2026-05-16T01:15:05"/>
        <d v="2026-05-28T03:29:39"/>
        <d v="2026-05-04T09:42:47"/>
        <d v="2026-05-12T03:00:45"/>
        <d v="2026-05-09T22:00:10"/>
        <d v="2026-06-01T11:33:33"/>
        <d v="2026-05-17T05:23:08"/>
        <d v="2026-05-18T23:56:07"/>
        <d v="2026-05-02T10:51:27"/>
        <d v="2026-05-18T16:04:16"/>
        <d v="2026-05-05T15:29:32"/>
        <d v="2026-05-24T01:31:54"/>
        <d v="2026-05-11T11:10:16"/>
        <d v="2026-05-07T18:43:46"/>
        <d v="2026-05-08T07:47:32"/>
        <d v="2026-05-01T01:54:55"/>
        <d v="2026-05-01T07:02:30"/>
        <d v="2026-05-24T12:58:09"/>
        <d v="2026-05-12T01:35:51"/>
        <d v="2026-05-27T07:20:15"/>
        <d v="2026-05-27T23:20:17"/>
        <d v="2026-05-05T18:23:07"/>
        <d v="2026-05-04T05:14:51"/>
        <d v="2026-05-03T12:04:56"/>
        <d v="2026-05-30T09:49:54"/>
        <d v="2026-05-20T10:05:35"/>
        <d v="2026-05-30T00:23:12"/>
        <d v="2026-05-19T18:50:19"/>
        <d v="2026-05-16T14:23:37"/>
        <d v="2026-06-01T06:46:57"/>
        <d v="2026-05-16T04:00:59"/>
        <d v="2026-05-27T00:14:34"/>
        <d v="2026-05-23T20:53:44"/>
        <d v="2026-05-01T10:00:48"/>
        <d v="2026-05-25T23:46:19"/>
        <d v="2026-05-07T06:33:15"/>
        <d v="2026-05-27T15:03:09"/>
        <d v="2026-05-18T02:02:58"/>
        <d v="2026-05-15T16:26:44"/>
        <d v="2026-05-24T14:47:05"/>
        <d v="2026-05-07T16:08:40"/>
        <d v="2026-05-26T02:37:36"/>
        <d v="2026-05-04T13:42:08"/>
        <d v="2026-05-16T09:16:54"/>
        <d v="2026-05-21T12:44:53"/>
        <d v="2026-05-21T10:28:17"/>
        <d v="2026-05-15T02:12:08"/>
        <d v="2026-05-07T04:06:10"/>
        <d v="2026-05-29T14:20:26"/>
        <d v="2026-05-08T17:22:49"/>
        <d v="2026-05-14T14:19:29"/>
        <d v="2026-05-17T03:05:10"/>
        <d v="2026-05-20T22:44:38"/>
        <d v="2026-05-03T06:53:54"/>
        <d v="2026-05-21T04:05:45"/>
        <d v="2026-05-16T11:25:32"/>
        <d v="2026-05-04T21:19:16"/>
        <d v="2026-05-12T00:25:54"/>
        <d v="2026-05-29T17:47:35"/>
        <d v="2026-05-16T03:29:06"/>
        <d v="2026-05-09T03:00:03"/>
        <d v="2026-05-15T04:12:52"/>
        <d v="2026-05-26T11:43:40"/>
        <d v="2026-05-06T18:37:16"/>
        <d v="2026-05-05T00:04:12"/>
        <d v="2026-05-29T04:05:57"/>
        <d v="2026-05-22T03:02:29"/>
        <d v="2026-05-04T05:59:36"/>
        <d v="2026-05-28T23:25:31"/>
        <d v="2026-05-02T12:43:27"/>
        <d v="2026-05-12T11:13:58"/>
        <d v="2026-05-12T08:17:28"/>
        <d v="2026-05-10T01:39:39"/>
        <d v="2026-05-16T20:18:31"/>
        <d v="2026-05-27T17:30:03"/>
        <d v="2026-05-06T08:24:08"/>
        <d v="2026-05-27T06:41:56"/>
        <d v="2026-05-16T20:51:34"/>
        <d v="2026-05-02T12:50:45"/>
        <d v="2026-05-23T15:34:50"/>
        <d v="2026-06-01T11:58:36"/>
        <d v="2026-05-21T12:17:11"/>
        <d v="2026-05-02T10:38:14"/>
        <d v="2026-05-02T08:03:51"/>
        <d v="2026-05-31T16:22:49"/>
        <d v="2026-05-15T05:06:15"/>
        <d v="2026-05-16T08:34:52"/>
        <d v="2026-05-04T07:36:54"/>
        <d v="2026-05-25T11:59:53"/>
        <d v="2026-05-12T05:15:37"/>
        <d v="2026-05-21T23:44:22"/>
        <d v="2026-05-02T22:44:22"/>
        <d v="2026-05-10T18:12:53"/>
        <d v="2026-06-01T17:19:11"/>
        <d v="2026-06-01T01:05:03"/>
        <d v="2026-05-15T19:14:01"/>
        <d v="2026-05-31T00:21:58"/>
        <d v="2026-05-13T04:21:45"/>
        <d v="2026-05-12T10:03:01"/>
        <d v="2026-05-10T18:45:58"/>
        <d v="2026-05-10T03:54:33"/>
        <d v="2026-05-24T02:23:45"/>
        <d v="2026-05-26T18:06:21"/>
        <d v="2026-05-20T10:08:10"/>
        <d v="2026-05-28T20:31:41"/>
        <d v="2026-05-21T05:45:35"/>
        <d v="2026-05-23T07:42:37"/>
        <d v="2026-05-12T12:19:46"/>
        <d v="2026-05-19T04:11:46"/>
        <d v="2026-05-01T22:36:25"/>
        <d v="2026-05-03T05:38:20"/>
        <d v="2026-05-15T20:36:06"/>
        <d v="2026-06-01T04:21:47"/>
        <d v="2026-05-05T07:22:20"/>
        <d v="2026-05-11T20:56:05"/>
        <d v="2026-05-22T14:00:16"/>
        <d v="2026-05-14T07:44:04"/>
        <d v="2026-05-23T08:50:06"/>
        <d v="2026-05-01T01:24:28"/>
        <d v="2026-05-27T05:56:26"/>
        <d v="2026-06-01T12:22:34"/>
        <d v="2026-05-25T03:53:30"/>
        <d v="2026-05-15T05:28:04"/>
        <d v="2026-05-03T09:01:20"/>
        <d v="2026-05-17T03:04:21"/>
        <d v="2026-05-11T12:10:46"/>
        <d v="2026-05-05T17:57:05"/>
        <d v="2026-05-22T19:39:57"/>
        <d v="2026-05-31T22:01:27"/>
        <d v="2026-05-11T19:56:27"/>
        <d v="2026-05-11T01:06:21"/>
        <d v="2026-05-14T06:26:44"/>
        <d v="2026-05-17T21:18:19"/>
        <d v="2026-05-16T03:03:25"/>
        <d v="2026-06-01T04:03:23"/>
        <d v="2026-05-01T13:05:18"/>
        <d v="2026-05-31T06:06:01"/>
        <d v="2026-05-14T05:40:18"/>
        <d v="2026-05-06T15:54:07"/>
        <d v="2026-05-20T12:30:31"/>
        <d v="2026-05-17T02:41:34"/>
        <d v="2026-05-25T05:23:56"/>
        <d v="2026-05-25T11:11:28"/>
        <d v="2026-05-03T08:28:29"/>
        <d v="2026-05-17T07:53:17"/>
        <d v="2026-05-04T04:48:44"/>
        <d v="2026-05-07T02:42:22"/>
        <d v="2026-05-27T18:14:35"/>
        <d v="2026-05-04T12:52:33"/>
        <d v="2026-05-27T17:43:55"/>
        <d v="2026-05-31T18:56:15"/>
        <d v="2026-05-31T09:05:25"/>
        <d v="2026-05-03T16:36:57"/>
        <d v="2026-05-10T03:48:28"/>
        <d v="2026-05-12T05:13:51"/>
        <d v="2026-05-13T04:02:27"/>
        <d v="2026-05-06T21:27:12"/>
        <d v="2026-05-10T19:16:20"/>
        <d v="2026-05-05T02:24:35"/>
        <d v="2026-05-26T17:20:54"/>
        <d v="2026-05-18T16:29:58"/>
        <d v="2026-05-01T22:39:37"/>
        <d v="2026-05-27T03:26:09"/>
        <d v="2026-05-10T18:37:37"/>
        <d v="2026-05-07T03:36:49"/>
        <d v="2026-05-07T09:55:34"/>
        <d v="2026-05-23T13:16:24"/>
        <d v="2026-06-01T18:38:30"/>
        <d v="2026-05-03T05:17:25"/>
        <d v="2026-05-10T19:38:43"/>
        <d v="2026-05-26T01:25:56"/>
        <d v="2026-05-22T22:15:03"/>
        <d v="2026-05-31T08:57:23"/>
        <d v="2026-05-02T10:52:50"/>
        <d v="2026-05-20T09:17:53"/>
        <d v="2026-06-01T22:43:06"/>
        <d v="2026-05-15T04:19:47"/>
        <d v="2026-05-29T10:17:46"/>
        <d v="2026-05-27T19:41:05"/>
        <d v="2026-05-13T14:13:58"/>
        <d v="2026-05-27T23:31:48"/>
        <d v="2026-05-24T01:32:50"/>
        <d v="2026-05-11T02:19:45"/>
        <d v="2026-05-26T04:49:54"/>
        <d v="2026-05-02T05:12:56"/>
        <d v="2026-05-13T01:15:02"/>
        <d v="2026-05-30T01:58:23"/>
        <d v="2026-05-13T08:23:52"/>
        <d v="2026-05-30T16:25:40"/>
        <d v="2026-05-08T21:01:15"/>
        <d v="2026-05-24T15:38:28"/>
        <d v="2026-05-12T15:37:35"/>
        <d v="2026-05-23T11:10:53"/>
        <d v="2026-05-17T23:53:44"/>
        <d v="2026-05-06T09:01:24"/>
        <d v="2026-05-04T05:54:36"/>
        <d v="2026-05-14T07:41:14"/>
        <d v="2026-05-14T08:41:26"/>
        <d v="2026-05-02T21:00:30"/>
        <d v="2026-05-09T20:11:38"/>
        <d v="2026-05-01T07:16:38"/>
        <d v="2026-05-20T22:45:41"/>
        <d v="2026-05-18T13:57:24"/>
        <d v="2026-05-23T14:16:13"/>
        <d v="2026-05-30T09:43:33"/>
        <d v="2026-05-26T18:06:00"/>
        <d v="2026-05-24T17:41:38"/>
        <d v="2026-05-19T09:43:06"/>
        <d v="2026-05-31T02:21:17"/>
        <d v="2026-05-21T08:16:41"/>
        <d v="2026-05-20T06:09:33"/>
        <d v="2026-05-16T01:51:54"/>
        <d v="2026-05-26T21:20:43"/>
        <d v="2026-05-09T23:01:41"/>
        <d v="2026-06-01T09:16:58"/>
        <d v="2026-05-27T12:24:47"/>
        <d v="2026-05-03T18:45:36"/>
        <d v="2026-05-13T10:46:45"/>
        <d v="2026-05-15T21:34:40"/>
        <d v="2026-05-31T21:22:32"/>
        <d v="2026-05-20T05:53:42"/>
        <d v="2026-05-12T09:06:30"/>
        <d v="2026-05-09T23:16:46"/>
        <d v="2026-05-12T21:57:21"/>
        <d v="2026-05-06T07:22:14"/>
        <d v="2026-05-20T13:50:56"/>
        <d v="2026-05-22T11:16:37"/>
        <d v="2026-05-19T14:54:07"/>
        <d v="2026-05-31T01:55:40"/>
        <d v="2026-05-05T15:56:12"/>
        <d v="2026-05-08T21:24:33"/>
        <d v="2026-05-20T13:03:55"/>
        <d v="2026-05-10T04:12:21"/>
        <d v="2026-05-27T18:57:58"/>
        <d v="2026-05-30T04:20:55"/>
        <d v="2026-05-12T02:31:21"/>
        <d v="2026-05-12T10:40:03"/>
        <d v="2026-05-01T14:17:13"/>
        <d v="2026-05-11T18:48:10"/>
        <d v="2026-06-01T02:08:39"/>
        <d v="2026-05-28T20:27:25"/>
        <d v="2026-05-28T15:24:00"/>
        <d v="2026-05-03T17:12:46"/>
        <d v="2026-05-24T00:57:20"/>
        <d v="2026-05-13T00:43:00"/>
        <d v="2026-05-16T07:44:56"/>
        <d v="2026-05-23T09:08:06"/>
        <d v="2026-05-25T16:37:19"/>
        <d v="2026-05-11T02:52:02"/>
        <d v="2026-05-20T09:29:46"/>
        <d v="2026-05-22T13:56:43"/>
        <d v="2026-05-09T10:57:31"/>
        <d v="2026-05-23T06:10:58"/>
        <d v="2026-05-26T00:14:14"/>
        <d v="2026-05-09T06:46:01"/>
        <d v="2026-05-11T03:23:45"/>
        <d v="2026-05-03T12:56:40"/>
        <d v="2026-05-17T17:39:03"/>
        <d v="2026-05-04T21:06:41"/>
        <d v="2026-05-02T01:44:07"/>
        <d v="2026-05-27T14:24:07"/>
        <d v="2026-05-17T15:44:09"/>
        <d v="2026-05-14T22:43:40"/>
        <d v="2026-05-01T09:26:42"/>
        <d v="2026-05-07T21:33:17"/>
        <d v="2026-05-09T13:53:57"/>
        <d v="2026-05-07T16:46:39"/>
        <d v="2026-05-08T09:07:50"/>
        <d v="2026-05-07T15:12:38"/>
        <d v="2026-05-13T08:53:33"/>
        <d v="2026-05-13T11:45:26"/>
        <d v="2026-05-19T05:02:35"/>
        <d v="2026-06-01T06:44:59"/>
        <d v="2026-05-31T10:15:00"/>
        <d v="2026-05-01T21:05:58"/>
        <d v="2026-05-08T18:42:31"/>
        <d v="2026-05-10T02:49:32"/>
        <d v="2026-05-05T23:46:06"/>
        <d v="2026-05-17T20:14:29"/>
        <d v="2026-05-19T08:29:03"/>
        <d v="2026-05-07T05:55:02"/>
        <d v="2026-05-19T11:51:43"/>
        <d v="2026-05-21T13:47:07"/>
        <d v="2026-05-07T01:00:54"/>
        <d v="2026-05-09T21:41:10"/>
        <d v="2026-05-22T11:57:28"/>
        <d v="2026-05-18T23:05:23"/>
        <d v="2026-05-22T05:07:25"/>
        <d v="2026-05-26T14:17:53"/>
        <d v="2026-05-25T22:54:30"/>
        <d v="2026-05-27T20:56:51"/>
        <d v="2026-05-11T03:08:44"/>
        <d v="2026-05-04T05:06:26"/>
        <d v="2026-05-31T18:43:28"/>
        <d v="2026-05-12T19:24:49"/>
        <d v="2026-05-23T19:01:55"/>
        <d v="2026-05-09T15:58:31"/>
        <d v="2026-05-08T13:28:02"/>
        <d v="2026-05-05T08:41:20"/>
        <d v="2026-05-01T22:55:43"/>
        <d v="2026-05-15T21:55:21"/>
        <d v="2026-05-07T13:42:46"/>
        <d v="2026-05-16T15:22:42"/>
        <d v="2026-05-25T04:53:52"/>
        <d v="2026-05-04T00:41:59"/>
        <d v="2026-05-11T16:54:30"/>
        <d v="2026-06-01T05:04:48"/>
        <d v="2026-06-01T10:15:21"/>
        <d v="2026-05-18T01:32:14"/>
        <d v="2026-05-25T12:52:15"/>
        <d v="2026-05-06T14:28:51"/>
        <d v="2026-05-29T02:54:31"/>
        <d v="2026-05-29T10:07:31"/>
        <d v="2026-05-02T03:25:26"/>
        <d v="2026-05-03T17:35:00"/>
        <d v="2026-05-06T19:39:40"/>
        <d v="2026-05-20T16:35:13"/>
        <d v="2026-05-30T10:23:52"/>
        <d v="2026-05-04T07:54:29"/>
        <d v="2026-05-22T17:49:39"/>
        <d v="2026-05-31T22:42:23"/>
        <d v="2026-05-29T03:06:48"/>
        <d v="2026-05-15T00:21:22"/>
        <d v="2026-05-19T17:33:23"/>
        <d v="2026-05-07T01:57:10"/>
        <d v="2026-06-01T04:52:45"/>
        <d v="2026-05-27T03:16:39"/>
        <d v="2026-05-13T06:07:59"/>
        <d v="2026-05-26T06:29:52"/>
        <d v="2026-05-13T22:21:06"/>
        <d v="2026-05-27T01:59:40"/>
        <d v="2026-05-08T14:29:42"/>
        <d v="2026-05-09T15:00:33"/>
        <d v="2026-05-04T17:59:27"/>
        <d v="2026-05-31T16:49:58"/>
        <d v="2026-05-12T22:37:11"/>
        <d v="2026-05-09T03:24:42"/>
        <d v="2026-05-21T16:56:24"/>
        <d v="2026-05-27T19:58:44"/>
        <d v="2026-05-16T08:25:21"/>
        <d v="2026-05-19T14:51:08"/>
        <d v="2026-05-09T13:38:44"/>
        <d v="2026-05-20T22:35:55"/>
        <d v="2026-05-21T22:47:59"/>
        <d v="2026-05-14T06:13:39"/>
        <d v="2026-05-19T21:22:58"/>
        <d v="2026-05-09T22:41:11"/>
        <d v="2026-05-21T22:07:48"/>
        <d v="2026-05-23T17:30:37"/>
        <d v="2026-05-27T21:47:57"/>
        <d v="2026-05-19T13:51:00"/>
        <d v="2026-05-07T00:24:09"/>
        <d v="2026-05-04T21:03:12"/>
        <d v="2026-05-18T05:18:43"/>
        <d v="2026-05-17T04:53:03"/>
        <d v="2026-05-19T06:48:34"/>
        <d v="2026-05-03T11:52:28"/>
        <d v="2026-05-07T19:55:43"/>
        <d v="2026-05-15T23:41:35"/>
        <d v="2026-05-25T07:32:50"/>
        <d v="2026-05-19T22:42:03"/>
        <d v="2026-05-25T12:26:50"/>
        <d v="2026-05-21T17:03:00"/>
        <d v="2026-05-17T06:39:55"/>
        <d v="2026-05-29T07:58:40"/>
        <d v="2026-05-24T18:34:47"/>
        <d v="2026-05-13T23:12:18"/>
        <d v="2026-05-29T05:43:04"/>
        <d v="2026-05-12T05:47:32"/>
        <d v="2026-05-08T12:02:27"/>
        <d v="2026-05-18T17:16:08"/>
        <d v="2026-05-11T18:54:16"/>
        <d v="2026-05-01T10:29:45"/>
        <d v="2026-05-10T01:09:59"/>
        <d v="2026-05-21T19:03:49"/>
        <d v="2026-05-20T15:50:36"/>
        <d v="2026-05-23T02:50:45"/>
        <d v="2026-05-21T16:14:11"/>
        <d v="2026-05-05T16:10:26"/>
        <d v="2026-05-26T02:22:14"/>
        <d v="2026-05-14T21:21:21"/>
        <d v="2026-05-24T09:13:48"/>
        <d v="2026-05-31T17:52:48"/>
        <d v="2026-05-01T03:42:22"/>
        <d v="2026-05-29T07:57:41"/>
        <d v="2026-05-16T01:43:56"/>
        <d v="2026-05-21T12:58:50"/>
        <d v="2026-05-08T12:16:34"/>
        <d v="2026-05-19T00:58:33"/>
        <d v="2026-05-24T16:51:32"/>
        <d v="2026-05-29T15:02:18"/>
        <d v="2026-05-13T10:32:05"/>
        <d v="2026-05-07T05:49:34"/>
        <d v="2026-05-01T20:04:13"/>
        <d v="2026-05-14T21:27:53"/>
        <d v="2026-05-07T06:34:53"/>
        <d v="2026-05-28T20:52:04"/>
        <d v="2026-05-10T00:29:45"/>
        <d v="2026-05-22T01:05:04"/>
        <d v="2026-05-04T05:50:16"/>
        <d v="2026-05-05T18:52:14"/>
        <d v="2026-05-17T13:24:28"/>
        <d v="2026-05-26T13:20:01"/>
        <d v="2026-05-25T21:07:34"/>
        <d v="2026-05-01T20:46:39"/>
        <d v="2026-05-05T23:37:02"/>
        <d v="2026-05-05T11:59:32"/>
        <d v="2026-05-07T09:50:43"/>
        <d v="2026-05-20T19:05:18"/>
        <d v="2026-05-29T12:25:52"/>
        <d v="2026-05-02T15:10:34"/>
        <d v="2026-05-15T04:47:25"/>
        <d v="2026-05-19T20:09:19"/>
        <d v="2026-05-24T00:35:55"/>
        <d v="2026-05-10T03:02:00"/>
        <d v="2026-05-26T17:35:05"/>
        <d v="2026-05-20T06:47:47"/>
        <d v="2026-05-23T06:26:57"/>
        <d v="2026-05-10T05:11:14"/>
        <d v="2026-05-17T06:07:11"/>
        <d v="2026-05-04T17:29:41"/>
        <d v="2026-05-05T09:42:04"/>
        <d v="2026-05-17T03:12:46"/>
        <d v="2026-06-01T10:22:08"/>
        <d v="2026-05-16T03:18:39"/>
        <d v="2026-05-05T06:20:31"/>
        <d v="2026-05-29T10:39:42"/>
        <d v="2026-05-20T22:37:09"/>
        <d v="2026-05-24T10:27:10"/>
        <d v="2026-05-01T10:15:50"/>
        <d v="2026-05-15T22:47:41"/>
        <d v="2026-05-28T08:53:23"/>
        <d v="2026-05-09T21:46:21"/>
        <d v="2026-05-31T14:28:22"/>
        <d v="2026-05-20T15:35:06"/>
        <d v="2026-05-12T20:38:05"/>
        <d v="2026-05-18T04:57:34"/>
        <d v="2026-05-13T08:46:56"/>
        <d v="2026-05-05T23:04:57"/>
        <d v="2026-05-02T16:40:01"/>
        <d v="2026-05-26T18:13:58"/>
        <d v="2026-05-03T17:16:34"/>
        <d v="2026-05-31T20:49:09"/>
        <d v="2026-05-24T12:14:57"/>
        <d v="2026-05-19T04:29:32"/>
        <d v="2026-05-06T12:23:32"/>
        <d v="2026-05-01T21:15:54"/>
        <d v="2026-05-11T16:08:28"/>
        <d v="2026-05-11T05:36:36"/>
        <d v="2026-05-10T23:46:30"/>
        <d v="2026-05-23T01:14:48"/>
        <d v="2026-06-01T07:04:16"/>
        <d v="2026-05-24T07:02:42"/>
        <d v="2026-05-14T16:58:50"/>
        <d v="2026-05-24T12:30:58"/>
        <d v="2026-05-30T01:02:41"/>
        <d v="2026-05-21T03:45:33"/>
        <d v="2026-05-18T23:16:37"/>
        <d v="2026-05-12T12:41:24"/>
        <d v="2026-05-24T18:41:57"/>
        <d v="2026-05-05T16:16:24"/>
        <d v="2026-05-15T16:25:22"/>
        <d v="2026-05-23T15:50:30"/>
        <d v="2026-05-01T16:56:08"/>
        <d v="2026-05-29T05:14:04"/>
        <d v="2026-05-18T06:09:11"/>
        <d v="2026-05-11T11:38:45"/>
        <d v="2026-05-08T21:14:26"/>
        <d v="2026-05-22T23:07:30"/>
        <d v="2026-05-31T15:13:37"/>
        <d v="2026-05-11T20:53:26"/>
        <d v="2026-05-02T07:02:08"/>
        <d v="2026-05-11T04:40:32"/>
        <d v="2026-05-03T18:09:03"/>
        <d v="2026-05-11T08:59:11"/>
        <d v="2026-05-26T19:36:40"/>
        <d v="2026-05-02T23:46:42"/>
        <d v="2026-05-19T02:13:28"/>
        <d v="2026-05-31T15:10:14"/>
        <d v="2026-05-27T19:09:50"/>
        <d v="2026-05-12T19:42:32"/>
        <d v="2026-05-17T05:46:43"/>
        <d v="2026-05-22T14:38:37"/>
        <d v="2026-05-05T07:24:24"/>
        <d v="2026-05-09T03:01:12"/>
        <d v="2026-05-27T04:38:06"/>
        <d v="2026-05-12T15:57:39"/>
        <d v="2026-05-03T17:32:48"/>
        <d v="2026-05-08T02:30:42"/>
        <d v="2026-05-09T19:34:52"/>
        <d v="2026-05-01T21:41:27"/>
        <d v="2026-05-27T11:55:02"/>
        <d v="2026-05-28T07:51:30"/>
        <d v="2026-05-25T11:37:51"/>
        <d v="2026-05-07T13:08:16"/>
        <d v="2026-05-31T07:58:54"/>
        <d v="2026-05-06T09:38:56"/>
        <d v="2026-05-27T08:12:00"/>
        <d v="2026-05-01T18:33:07"/>
        <d v="2026-05-01T12:41:13"/>
        <d v="2026-05-21T13:23:06"/>
        <d v="2026-05-10T13:41:37"/>
        <d v="2026-05-17T08:54:34"/>
        <d v="2026-05-28T18:23:39"/>
        <d v="2026-05-18T21:25:48"/>
        <d v="2026-05-14T13:35:50"/>
        <d v="2026-05-31T05:23:35"/>
        <d v="2026-05-31T08:19:36"/>
        <d v="2026-05-23T22:25:47"/>
        <d v="2026-05-09T21:07:47"/>
        <d v="2026-05-15T14:50:44"/>
        <d v="2026-05-11T03:13:32"/>
        <d v="2026-05-26T10:51:35"/>
        <d v="2026-05-04T05:24:40"/>
        <d v="2026-05-01T02:52:09"/>
        <d v="2026-05-31T19:27:05"/>
        <d v="2026-05-05T08:14:23"/>
        <d v="2026-05-06T19:02:46"/>
        <d v="2026-05-25T12:39:41"/>
        <d v="2026-05-19T22:38:03"/>
        <d v="2026-05-12T20:31:28"/>
        <d v="2026-05-01T06:54:42"/>
        <d v="2026-05-19T06:02:50"/>
        <d v="2026-05-15T19:10:43"/>
        <d v="2026-05-03T11:15:41"/>
        <d v="2026-05-01T05:05:17"/>
        <d v="2026-05-26T11:42:25"/>
        <d v="2026-05-26T18:12:33"/>
        <d v="2026-05-01T23:45:04"/>
        <d v="2026-05-06T17:18:46"/>
        <d v="2026-05-23T11:52:17"/>
        <d v="2026-05-15T19:12:29"/>
        <d v="2026-05-26T18:00:16"/>
        <d v="2026-05-12T13:32:06"/>
        <d v="2026-05-05T16:18:21"/>
        <d v="2026-05-08T16:16:56"/>
        <d v="2026-05-17T22:28:24"/>
        <d v="2026-05-31T07:48:21"/>
        <d v="2026-05-30T21:29:57"/>
        <d v="2026-05-02T15:07:16"/>
        <d v="2026-05-05T12:40:50"/>
        <d v="2026-05-15T21:44:14"/>
        <d v="2026-05-21T13:22:33"/>
        <d v="2026-05-01T22:53:16"/>
        <d v="2026-05-16T09:05:25"/>
        <d v="2026-05-22T02:35:59"/>
        <d v="2026-05-12T15:20:22"/>
        <d v="2026-05-14T18:17:11"/>
        <d v="2026-05-13T15:47:12"/>
        <d v="2026-05-16T23:15:55"/>
        <d v="2026-05-17T06:14:12"/>
        <d v="2026-05-16T19:22:09"/>
        <d v="2026-05-07T03:58:05"/>
        <d v="2026-06-01T19:00:48"/>
        <d v="2026-05-03T15:23:39"/>
        <d v="2026-05-21T15:57:56"/>
        <d v="2026-05-18T15:11:48"/>
        <d v="2026-05-18T12:14:48"/>
        <d v="2026-05-09T01:33:51"/>
        <d v="2026-05-28T15:34:02"/>
        <d v="2026-05-23T12:55:43"/>
        <d v="2026-05-12T14:07:44"/>
        <d v="2026-05-30T10:44:00"/>
        <d v="2026-05-01T21:13:24"/>
        <d v="2026-05-07T10:23:39"/>
        <d v="2026-05-17T05:35:16"/>
        <d v="2026-05-16T08:30:39"/>
        <d v="2026-05-22T11:11:31"/>
        <d v="2026-05-28T06:26:44"/>
        <d v="2026-05-24T11:54:25"/>
        <d v="2026-05-18T14:11:36"/>
        <d v="2026-05-09T18:43:14"/>
        <d v="2026-05-07T23:17:51"/>
        <d v="2026-05-16T17:27:54"/>
        <d v="2026-05-25T06:09:51"/>
        <d v="2026-05-10T15:51:00"/>
        <d v="2026-05-12T13:31:08"/>
        <d v="2026-05-21T15:19:16"/>
        <d v="2026-05-04T12:06:44"/>
        <d v="2026-05-11T01:13:52"/>
        <d v="2026-05-17T15:53:40"/>
        <d v="2026-05-07T14:47:21"/>
        <d v="2026-05-17T11:23:35"/>
        <d v="2026-05-17T11:01:26"/>
        <d v="2026-05-08T11:55:43"/>
        <d v="2026-05-13T18:36:41"/>
        <d v="2026-05-12T09:22:20"/>
        <d v="2026-06-01T23:28:56"/>
        <d v="2026-05-06T12:39:18"/>
        <d v="2026-05-30T20:09:55"/>
        <d v="2026-05-11T20:51:59"/>
        <d v="2026-05-22T13:40:39"/>
        <d v="2026-05-26T02:05:10"/>
        <d v="2026-05-22T07:20:20"/>
        <d v="2026-05-19T22:17:38"/>
        <d v="2026-05-26T08:56:28"/>
        <d v="2026-05-24T23:37:33"/>
        <d v="2026-05-29T13:10:11"/>
        <d v="2026-05-02T04:46:15"/>
        <d v="2026-05-17T23:44:47"/>
        <d v="2026-05-06T06:10:25"/>
        <d v="2026-05-07T03:04:59"/>
        <d v="2026-05-31T17:03:01"/>
        <d v="2026-05-26T16:48:05"/>
        <d v="2026-05-07T08:39:09"/>
        <d v="2026-05-06T20:59:56"/>
        <d v="2026-05-25T09:14:15"/>
        <d v="2026-05-19T14:40:08"/>
        <d v="2026-05-09T16:53:10"/>
        <d v="2026-05-02T01:42:22"/>
        <d v="2026-05-21T15:29:55"/>
        <d v="2026-05-18T17:28:08"/>
        <d v="2026-05-12T18:38:29"/>
        <d v="2026-05-28T16:40:40"/>
        <d v="2026-05-20T11:30:34"/>
        <d v="2026-05-15T02:28:19"/>
        <d v="2026-05-24T13:16:09"/>
        <d v="2026-05-20T00:00:33"/>
        <d v="2026-05-09T11:18:30"/>
        <d v="2026-05-01T22:59:31"/>
        <d v="2026-05-31T09:00:49"/>
        <d v="2026-05-28T09:38:14"/>
        <d v="2026-05-01T17:23:12"/>
        <d v="2026-05-27T17:27:25"/>
        <d v="2026-05-16T05:45:47"/>
        <d v="2026-05-25T12:14:16"/>
        <d v="2026-05-06T13:40:15"/>
        <d v="2026-05-18T09:41:47"/>
        <d v="2026-05-18T13:12:54"/>
        <d v="2026-05-05T05:08:18"/>
        <d v="2026-05-08T20:29:39"/>
        <d v="2026-05-29T08:44:39"/>
        <d v="2026-06-01T06:20:01"/>
        <d v="2026-05-10T01:34:01"/>
        <d v="2026-05-12T03:18:17"/>
        <d v="2026-05-09T22:28:46"/>
        <d v="2026-05-01T07:05:09"/>
        <d v="2026-05-01T15:13:21"/>
        <d v="2026-05-27T09:50:51"/>
        <d v="2026-06-01T11:29:44"/>
        <d v="2026-05-03T10:05:53"/>
        <d v="2026-05-10T01:17:49"/>
        <d v="2026-05-26T02:34:30"/>
        <d v="2026-05-12T06:57:53"/>
        <d v="2026-05-17T12:53:00"/>
        <d v="2026-05-08T22:15:24"/>
        <d v="2026-05-29T07:47:02"/>
        <d v="2026-05-13T14:47:49"/>
        <d v="2026-05-07T16:42:13"/>
        <d v="2026-05-31T12:43:19"/>
        <d v="2026-05-21T05:40:46"/>
        <d v="2026-05-03T23:59:35"/>
        <d v="2026-05-08T08:30:40"/>
        <d v="2026-05-20T06:23:56"/>
        <d v="2026-05-04T21:13:07"/>
        <d v="2026-05-16T20:27:20"/>
        <d v="2026-05-01T05:50:17"/>
        <d v="2026-05-08T12:50:15"/>
        <d v="2026-05-01T01:37:50"/>
        <d v="2026-05-31T22:38:09"/>
        <d v="2026-05-24T02:15:10"/>
        <d v="2026-06-01T02:43:39"/>
        <d v="2026-05-22T20:03:03"/>
        <d v="2026-05-23T20:09:44"/>
        <d v="2026-05-07T04:31:14"/>
        <d v="2026-05-21T17:50:41"/>
        <d v="2026-05-23T14:46:12"/>
        <d v="2026-05-02T22:24:22"/>
        <d v="2026-05-09T08:57:02"/>
        <d v="2026-06-01T22:28:35"/>
        <d v="2026-05-19T17:44:31"/>
        <d v="2026-05-13T18:11:34"/>
        <d v="2026-05-23T10:46:29"/>
        <d v="2026-05-18T19:58:55"/>
        <d v="2026-05-11T02:33:09"/>
        <d v="2026-05-29T09:52:16"/>
        <d v="2026-05-24T14:00:49"/>
        <d v="2026-05-25T23:11:56"/>
        <d v="2026-05-02T19:54:23"/>
        <d v="2026-05-16T10:46:04"/>
        <d v="2026-05-25T06:33:43"/>
        <d v="2026-06-01T17:09:39"/>
        <d v="2026-05-19T10:26:41"/>
        <d v="2026-05-21T03:06:33"/>
        <d v="2026-05-05T01:53:08"/>
        <d v="2026-05-12T01:12:06"/>
        <d v="2026-06-01T06:06:02"/>
        <d v="2026-05-25T21:31:33"/>
        <d v="2026-05-17T01:23:14"/>
        <d v="2026-05-05T00:59:58"/>
        <d v="2026-05-14T20:31:59"/>
        <d v="2026-05-06T14:51:40"/>
        <d v="2026-05-04T11:35:47"/>
        <d v="2026-05-27T11:50:45"/>
        <d v="2026-05-04T19:17:33"/>
      </sharedItems>
      <fieldGroup par="12"/>
    </cacheField>
    <cacheField name="delivery_time" numFmtId="22">
      <sharedItems containsNonDate="0" containsDate="1" containsString="0" containsBlank="1" minDate="2026-05-01T00:34:29" maxDate="2026-06-02T00:15:56"/>
    </cacheField>
    <cacheField name="delivery_minutes" numFmtId="2">
      <sharedItems containsMixedTypes="1" containsNumber="1" minValue="7.9999999946448952" maxValue="59.99999999650754"/>
    </cacheField>
    <cacheField name="order_value" numFmtId="0">
      <sharedItems containsSemiMixedTypes="0" containsString="0" containsNumber="1" minValue="99.44" maxValue="2496.5700000000002"/>
    </cacheField>
    <cacheField name="order_cateogry" numFmtId="0">
      <sharedItems count="3">
        <s v="Low"/>
        <s v="Moderate"/>
        <s v="High"/>
      </sharedItems>
    </cacheField>
    <cacheField name="Duration" numFmtId="0">
      <sharedItems count="3">
        <s v="Evening"/>
        <s v="Late Night"/>
        <s v="Early Morning"/>
      </sharedItems>
    </cacheField>
    <cacheField name="payment_mode" numFmtId="0">
      <sharedItems count="6">
        <s v="Wallet"/>
        <s v="COD"/>
        <s v="Net Banking"/>
        <s v="Credit Card"/>
        <s v="UPI"/>
        <s v="Debit Card"/>
      </sharedItems>
    </cacheField>
    <cacheField name="order_status" numFmtId="0">
      <sharedItems count="3">
        <s v="delayed"/>
        <s v="delivered"/>
        <s v="cancelled"/>
      </sharedItems>
    </cacheField>
    <cacheField name="Days (order_time)" numFmtId="0" databaseField="0">
      <fieldGroup base="3">
        <rangePr groupBy="days" startDate="2026-05-01T00:19:29" endDate="2026-06-01T23:41:47"/>
        <groupItems count="368">
          <s v="&lt;01/05/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6"/>
        </groupItems>
      </fieldGroup>
    </cacheField>
    <cacheField name="Months (order_time)" numFmtId="0" databaseField="0">
      <fieldGroup base="3">
        <rangePr groupBy="months" startDate="2026-05-01T00:19:29" endDate="2026-06-01T23:41:47"/>
        <groupItems count="14">
          <s v="&lt;01/05/26"/>
          <s v="Jan"/>
          <s v="Feb"/>
          <s v="Mar"/>
          <s v="Apr"/>
          <s v="May"/>
          <s v="Jun"/>
          <s v="Jul"/>
          <s v="Aug"/>
          <s v="Sep"/>
          <s v="Oct"/>
          <s v="Nov"/>
          <s v="Dec"/>
          <s v="&gt;01/06/26"/>
        </groupItems>
      </fieldGroup>
    </cacheField>
  </cacheFields>
  <extLst>
    <ext xmlns:x14="http://schemas.microsoft.com/office/spreadsheetml/2009/9/main" uri="{725AE2AE-9491-48be-B2B4-4EB974FC3084}">
      <x14:pivotCacheDefinition pivotCacheId="421327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ORD100017"/>
    <x v="0"/>
  </r>
  <r>
    <s v="ORD100020"/>
    <x v="1"/>
  </r>
  <r>
    <s v="ORD100051"/>
    <x v="1"/>
  </r>
  <r>
    <s v="ORD100072"/>
    <x v="2"/>
  </r>
  <r>
    <s v="ORD100101"/>
    <x v="3"/>
  </r>
  <r>
    <s v="ORD100104"/>
    <x v="2"/>
  </r>
  <r>
    <s v="ORD100144"/>
    <x v="2"/>
  </r>
  <r>
    <s v="ORD100156"/>
    <x v="2"/>
  </r>
  <r>
    <s v="ORD100161"/>
    <x v="1"/>
  </r>
  <r>
    <s v="ORD100164"/>
    <x v="3"/>
  </r>
  <r>
    <s v="ORD100165"/>
    <x v="3"/>
  </r>
  <r>
    <s v="ORD100179"/>
    <x v="2"/>
  </r>
  <r>
    <s v="ORD100185"/>
    <x v="2"/>
  </r>
  <r>
    <s v="ORD100189"/>
    <x v="3"/>
  </r>
  <r>
    <s v="ORD100191"/>
    <x v="3"/>
  </r>
  <r>
    <s v="ORD100196"/>
    <x v="2"/>
  </r>
  <r>
    <s v="ORD100200"/>
    <x v="2"/>
  </r>
  <r>
    <s v="ORD100206"/>
    <x v="3"/>
  </r>
  <r>
    <s v="ORD100215"/>
    <x v="0"/>
  </r>
  <r>
    <s v="ORD100230"/>
    <x v="2"/>
  </r>
  <r>
    <s v="ORD100257"/>
    <x v="1"/>
  </r>
  <r>
    <s v="ORD100274"/>
    <x v="1"/>
  </r>
  <r>
    <s v="ORD100277"/>
    <x v="1"/>
  </r>
  <r>
    <s v="ORD100278"/>
    <x v="0"/>
  </r>
  <r>
    <s v="ORD100282"/>
    <x v="3"/>
  </r>
  <r>
    <s v="ORD100291"/>
    <x v="1"/>
  </r>
  <r>
    <s v="ORD100308"/>
    <x v="3"/>
  </r>
  <r>
    <s v="ORD100335"/>
    <x v="3"/>
  </r>
  <r>
    <s v="ORD100336"/>
    <x v="1"/>
  </r>
  <r>
    <s v="ORD100337"/>
    <x v="3"/>
  </r>
  <r>
    <s v="ORD100346"/>
    <x v="1"/>
  </r>
  <r>
    <s v="ORD100351"/>
    <x v="2"/>
  </r>
  <r>
    <s v="ORD100363"/>
    <x v="2"/>
  </r>
  <r>
    <s v="ORD100372"/>
    <x v="2"/>
  </r>
  <r>
    <s v="ORD100385"/>
    <x v="1"/>
  </r>
  <r>
    <s v="ORD100386"/>
    <x v="1"/>
  </r>
  <r>
    <s v="ORD100404"/>
    <x v="0"/>
  </r>
  <r>
    <s v="ORD100417"/>
    <x v="3"/>
  </r>
  <r>
    <s v="ORD100424"/>
    <x v="2"/>
  </r>
  <r>
    <s v="ORD100427"/>
    <x v="0"/>
  </r>
  <r>
    <s v="ORD100429"/>
    <x v="1"/>
  </r>
  <r>
    <s v="ORD100433"/>
    <x v="1"/>
  </r>
  <r>
    <s v="ORD100441"/>
    <x v="2"/>
  </r>
  <r>
    <s v="ORD100445"/>
    <x v="3"/>
  </r>
  <r>
    <s v="ORD100518"/>
    <x v="0"/>
  </r>
  <r>
    <s v="ORD100533"/>
    <x v="3"/>
  </r>
  <r>
    <s v="ORD100537"/>
    <x v="1"/>
  </r>
  <r>
    <s v="ORD100547"/>
    <x v="2"/>
  </r>
  <r>
    <s v="ORD100563"/>
    <x v="1"/>
  </r>
  <r>
    <s v="ORD100574"/>
    <x v="1"/>
  </r>
  <r>
    <s v="ORD100596"/>
    <x v="2"/>
  </r>
  <r>
    <s v="ORD100613"/>
    <x v="3"/>
  </r>
  <r>
    <s v="ORD100629"/>
    <x v="1"/>
  </r>
  <r>
    <s v="ORD100656"/>
    <x v="2"/>
  </r>
  <r>
    <s v="ORD100664"/>
    <x v="1"/>
  </r>
  <r>
    <s v="ORD100708"/>
    <x v="3"/>
  </r>
  <r>
    <s v="ORD100711"/>
    <x v="3"/>
  </r>
  <r>
    <s v="ORD100733"/>
    <x v="3"/>
  </r>
  <r>
    <s v="ORD100751"/>
    <x v="1"/>
  </r>
  <r>
    <s v="ORD100764"/>
    <x v="2"/>
  </r>
  <r>
    <s v="ORD100776"/>
    <x v="1"/>
  </r>
  <r>
    <s v="ORD100778"/>
    <x v="1"/>
  </r>
  <r>
    <s v="ORD100813"/>
    <x v="2"/>
  </r>
  <r>
    <s v="ORD100815"/>
    <x v="1"/>
  </r>
  <r>
    <s v="ORD100827"/>
    <x v="3"/>
  </r>
  <r>
    <s v="ORD100829"/>
    <x v="3"/>
  </r>
  <r>
    <s v="ORD100837"/>
    <x v="3"/>
  </r>
  <r>
    <s v="ORD100873"/>
    <x v="3"/>
  </r>
  <r>
    <s v="ORD100894"/>
    <x v="0"/>
  </r>
  <r>
    <s v="ORD100948"/>
    <x v="2"/>
  </r>
  <r>
    <s v="ORD100958"/>
    <x v="1"/>
  </r>
  <r>
    <s v="ORD100960"/>
    <x v="3"/>
  </r>
  <r>
    <s v="ORD100970"/>
    <x v="1"/>
  </r>
  <r>
    <s v="ORD100972"/>
    <x v="0"/>
  </r>
  <r>
    <s v="ORD10099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0"/>
    <s v="CUST34592"/>
    <x v="0"/>
    <x v="0"/>
    <d v="2026-05-12T14:41:53"/>
    <n v="45"/>
    <n v="196.57"/>
    <x v="0"/>
    <x v="0"/>
    <x v="0"/>
    <x v="0"/>
  </r>
  <r>
    <s v="ORD100001"/>
    <s v="CUST23278"/>
    <x v="0"/>
    <x v="1"/>
    <d v="2026-05-12T02:06:25"/>
    <n v="13.000000000465661"/>
    <n v="267.93"/>
    <x v="0"/>
    <x v="1"/>
    <x v="1"/>
    <x v="1"/>
  </r>
  <r>
    <s v="ORD100002"/>
    <s v="CUST56048"/>
    <x v="1"/>
    <x v="2"/>
    <d v="2026-06-01T06:10:47"/>
    <n v="10.999999993946403"/>
    <n v="828.37"/>
    <x v="1"/>
    <x v="2"/>
    <x v="2"/>
    <x v="1"/>
  </r>
  <r>
    <s v="ORD100003"/>
    <s v="CUST52098"/>
    <x v="0"/>
    <x v="3"/>
    <d v="2026-05-19T01:15:19"/>
    <n v="15.000000006984919"/>
    <n v="2366.0500000000002"/>
    <x v="2"/>
    <x v="1"/>
    <x v="0"/>
    <x v="1"/>
  </r>
  <r>
    <s v="ORD100004"/>
    <s v="CUST49256"/>
    <x v="1"/>
    <x v="4"/>
    <d v="2026-05-07T10:35:29"/>
    <n v="17.000000003026798"/>
    <n v="2404.41"/>
    <x v="2"/>
    <x v="2"/>
    <x v="1"/>
    <x v="1"/>
  </r>
  <r>
    <s v="ORD100005"/>
    <s v="CUST38289"/>
    <x v="2"/>
    <x v="5"/>
    <d v="2026-06-01T05:07:32"/>
    <n v="13.000000000465661"/>
    <n v="332.09"/>
    <x v="0"/>
    <x v="2"/>
    <x v="3"/>
    <x v="1"/>
  </r>
  <r>
    <s v="ORD100006"/>
    <s v="CUST33434"/>
    <x v="3"/>
    <x v="6"/>
    <d v="2026-05-30T08:20:51"/>
    <n v="7.9999999946448952"/>
    <n v="1839.41"/>
    <x v="2"/>
    <x v="2"/>
    <x v="0"/>
    <x v="1"/>
  </r>
  <r>
    <s v="ORD100007"/>
    <s v="CUST91482"/>
    <x v="4"/>
    <x v="7"/>
    <d v="2026-05-08T10:29:46"/>
    <n v="18.999999999068677"/>
    <n v="1374.99"/>
    <x v="1"/>
    <x v="2"/>
    <x v="1"/>
    <x v="1"/>
  </r>
  <r>
    <s v="ORD100008"/>
    <s v="CUST31395"/>
    <x v="1"/>
    <x v="8"/>
    <d v="2026-05-30T20:26:45"/>
    <n v="10.000000001164153"/>
    <n v="553.70000000000005"/>
    <x v="1"/>
    <x v="0"/>
    <x v="3"/>
    <x v="1"/>
  </r>
  <r>
    <s v="ORD100009"/>
    <s v="CUST97397"/>
    <x v="1"/>
    <x v="9"/>
    <d v="2026-05-12T01:05:21"/>
    <n v="17.999999995809048"/>
    <n v="1361.86"/>
    <x v="1"/>
    <x v="1"/>
    <x v="4"/>
    <x v="1"/>
  </r>
  <r>
    <s v="ORD100010"/>
    <s v="CUST75302"/>
    <x v="5"/>
    <x v="10"/>
    <d v="2026-05-19T18:51:48"/>
    <n v="7.9999999946448952"/>
    <n v="696.03"/>
    <x v="1"/>
    <x v="0"/>
    <x v="4"/>
    <x v="1"/>
  </r>
  <r>
    <s v="ORD100011"/>
    <s v="CUST24165"/>
    <x v="4"/>
    <x v="11"/>
    <d v="2026-05-13T05:56:54"/>
    <n v="17.000000003026798"/>
    <n v="1599.78"/>
    <x v="2"/>
    <x v="2"/>
    <x v="0"/>
    <x v="1"/>
  </r>
  <r>
    <s v="ORD100012"/>
    <s v="CUST23905"/>
    <x v="2"/>
    <x v="12"/>
    <d v="2026-05-26T13:47:20"/>
    <n v="14.99999999650754"/>
    <n v="528.35"/>
    <x v="1"/>
    <x v="0"/>
    <x v="3"/>
    <x v="1"/>
  </r>
  <r>
    <s v="ORD100013"/>
    <s v="CUST32280"/>
    <x v="5"/>
    <x v="13"/>
    <d v="2026-05-06T13:07:06"/>
    <n v="24.999999997671694"/>
    <n v="1897.07"/>
    <x v="2"/>
    <x v="0"/>
    <x v="2"/>
    <x v="0"/>
  </r>
  <r>
    <s v="ORD100014"/>
    <s v="CUST48657"/>
    <x v="3"/>
    <x v="14"/>
    <d v="2026-05-12T04:38:20"/>
    <n v="7.9999999946448952"/>
    <n v="1095.44"/>
    <x v="1"/>
    <x v="1"/>
    <x v="0"/>
    <x v="1"/>
  </r>
  <r>
    <s v="ORD100015"/>
    <s v="CUST50495"/>
    <x v="6"/>
    <x v="15"/>
    <d v="2026-05-16T00:34:24"/>
    <n v="17.999999995809048"/>
    <n v="352.23"/>
    <x v="0"/>
    <x v="0"/>
    <x v="4"/>
    <x v="1"/>
  </r>
  <r>
    <s v="ORD100016"/>
    <s v="CUST86237"/>
    <x v="4"/>
    <x v="16"/>
    <d v="2026-05-16T14:58:17"/>
    <n v="10.000000001164153"/>
    <n v="1631.7"/>
    <x v="2"/>
    <x v="0"/>
    <x v="2"/>
    <x v="1"/>
  </r>
  <r>
    <s v="ORD100017"/>
    <s v="CUST98907"/>
    <x v="6"/>
    <x v="17"/>
    <m/>
    <s v=" "/>
    <n v="958.11"/>
    <x v="1"/>
    <x v="0"/>
    <x v="1"/>
    <x v="2"/>
  </r>
  <r>
    <s v="ORD100018"/>
    <s v="CUST23478"/>
    <x v="4"/>
    <x v="18"/>
    <d v="2026-05-01T08:55:23"/>
    <n v="14.00000000372529"/>
    <n v="1199.93"/>
    <x v="1"/>
    <x v="2"/>
    <x v="4"/>
    <x v="1"/>
  </r>
  <r>
    <s v="ORD100019"/>
    <s v="CUST93563"/>
    <x v="2"/>
    <x v="19"/>
    <d v="2026-05-16T01:58:07"/>
    <n v="15.999999999767169"/>
    <n v="1695.58"/>
    <x v="2"/>
    <x v="1"/>
    <x v="3"/>
    <x v="1"/>
  </r>
  <r>
    <s v="ORD100020"/>
    <s v="CUST46062"/>
    <x v="5"/>
    <x v="20"/>
    <m/>
    <s v=" "/>
    <n v="2217.7800000000002"/>
    <x v="2"/>
    <x v="0"/>
    <x v="0"/>
    <x v="2"/>
  </r>
  <r>
    <s v="ORD100021"/>
    <s v="CUST91426"/>
    <x v="1"/>
    <x v="21"/>
    <d v="2026-05-20T22:26:40"/>
    <n v="18.999999999068677"/>
    <n v="499.34"/>
    <x v="0"/>
    <x v="0"/>
    <x v="0"/>
    <x v="1"/>
  </r>
  <r>
    <s v="ORD100022"/>
    <s v="CUST74987"/>
    <x v="5"/>
    <x v="22"/>
    <d v="2026-05-19T11:58:14"/>
    <n v="18.999999999068677"/>
    <n v="531.95000000000005"/>
    <x v="1"/>
    <x v="2"/>
    <x v="3"/>
    <x v="1"/>
  </r>
  <r>
    <s v="ORD100023"/>
    <s v="CUST48893"/>
    <x v="6"/>
    <x v="23"/>
    <d v="2026-05-15T04:45:09"/>
    <n v="14.99999999650754"/>
    <n v="1062.74"/>
    <x v="1"/>
    <x v="1"/>
    <x v="4"/>
    <x v="1"/>
  </r>
  <r>
    <s v="ORD100024"/>
    <s v="CUST78878"/>
    <x v="4"/>
    <x v="24"/>
    <d v="2026-05-31T00:28:23"/>
    <n v="50.000000005820766"/>
    <n v="909.03"/>
    <x v="1"/>
    <x v="0"/>
    <x v="3"/>
    <x v="0"/>
  </r>
  <r>
    <s v="ORD100025"/>
    <s v="CUST97236"/>
    <x v="7"/>
    <x v="25"/>
    <d v="2026-05-27T22:51:58"/>
    <n v="15.999999999767169"/>
    <n v="478.62"/>
    <x v="0"/>
    <x v="0"/>
    <x v="0"/>
    <x v="1"/>
  </r>
  <r>
    <s v="ORD100026"/>
    <s v="CUST56463"/>
    <x v="3"/>
    <x v="26"/>
    <d v="2026-05-31T18:00:42"/>
    <n v="8.9999999979045242"/>
    <n v="2495.2399999999998"/>
    <x v="2"/>
    <x v="0"/>
    <x v="4"/>
    <x v="1"/>
  </r>
  <r>
    <s v="ORD100027"/>
    <s v="CUST20851"/>
    <x v="1"/>
    <x v="27"/>
    <d v="2026-05-14T08:03:48"/>
    <n v="20.000000002328306"/>
    <n v="1162.23"/>
    <x v="1"/>
    <x v="2"/>
    <x v="5"/>
    <x v="1"/>
  </r>
  <r>
    <s v="ORD100028"/>
    <s v="CUST40926"/>
    <x v="6"/>
    <x v="28"/>
    <d v="2026-05-06T16:57:33"/>
    <n v="29.000000000232831"/>
    <n v="944.58"/>
    <x v="1"/>
    <x v="0"/>
    <x v="4"/>
    <x v="0"/>
  </r>
  <r>
    <s v="ORD100029"/>
    <s v="CUST75392"/>
    <x v="3"/>
    <x v="29"/>
    <d v="2026-05-24T03:14:36"/>
    <n v="15.999999999767169"/>
    <n v="855.37"/>
    <x v="1"/>
    <x v="1"/>
    <x v="2"/>
    <x v="1"/>
  </r>
  <r>
    <s v="ORD100030"/>
    <s v="CUST64597"/>
    <x v="1"/>
    <x v="30"/>
    <d v="2026-05-08T02:01:35"/>
    <n v="7.9999999946448952"/>
    <n v="2478.5100000000002"/>
    <x v="2"/>
    <x v="1"/>
    <x v="1"/>
    <x v="1"/>
  </r>
  <r>
    <s v="ORD100031"/>
    <s v="CUST56421"/>
    <x v="3"/>
    <x v="31"/>
    <d v="2026-05-13T18:52:09"/>
    <n v="17.999999995809048"/>
    <n v="878.17"/>
    <x v="1"/>
    <x v="0"/>
    <x v="3"/>
    <x v="1"/>
  </r>
  <r>
    <s v="ORD100032"/>
    <s v="CUST40379"/>
    <x v="4"/>
    <x v="32"/>
    <d v="2026-05-11T11:09:33"/>
    <n v="15.000000006984919"/>
    <n v="991.13"/>
    <x v="1"/>
    <x v="2"/>
    <x v="1"/>
    <x v="1"/>
  </r>
  <r>
    <s v="ORD100033"/>
    <s v="CUST48221"/>
    <x v="2"/>
    <x v="33"/>
    <d v="2026-05-29T04:01:13"/>
    <n v="17.999999995809048"/>
    <n v="1933.04"/>
    <x v="2"/>
    <x v="1"/>
    <x v="4"/>
    <x v="1"/>
  </r>
  <r>
    <s v="ORD100034"/>
    <s v="CUST64118"/>
    <x v="6"/>
    <x v="34"/>
    <d v="2026-06-01T03:06:32"/>
    <n v="8.9999999979045242"/>
    <n v="1132.4100000000001"/>
    <x v="1"/>
    <x v="1"/>
    <x v="4"/>
    <x v="1"/>
  </r>
  <r>
    <s v="ORD100035"/>
    <s v="CUST33396"/>
    <x v="0"/>
    <x v="35"/>
    <d v="2026-05-29T01:42:08"/>
    <n v="13.000000000465661"/>
    <n v="1841.08"/>
    <x v="2"/>
    <x v="1"/>
    <x v="4"/>
    <x v="1"/>
  </r>
  <r>
    <s v="ORD100036"/>
    <s v="CUST32156"/>
    <x v="7"/>
    <x v="36"/>
    <d v="2026-05-27T14:50:03"/>
    <n v="14.00000000372529"/>
    <n v="1559.19"/>
    <x v="2"/>
    <x v="0"/>
    <x v="2"/>
    <x v="1"/>
  </r>
  <r>
    <s v="ORD100037"/>
    <s v="CUST69797"/>
    <x v="0"/>
    <x v="37"/>
    <d v="2026-05-30T22:08:19"/>
    <n v="17.000000003026798"/>
    <n v="1450.55"/>
    <x v="1"/>
    <x v="0"/>
    <x v="1"/>
    <x v="1"/>
  </r>
  <r>
    <s v="ORD100038"/>
    <s v="CUST32676"/>
    <x v="6"/>
    <x v="38"/>
    <d v="2026-05-02T13:03:52"/>
    <n v="46.999999996041879"/>
    <n v="612.42999999999995"/>
    <x v="1"/>
    <x v="0"/>
    <x v="1"/>
    <x v="0"/>
  </r>
  <r>
    <s v="ORD100039"/>
    <s v="CUST67052"/>
    <x v="1"/>
    <x v="39"/>
    <d v="2026-05-01T23:27:37"/>
    <n v="14.00000000372529"/>
    <n v="1936.7"/>
    <x v="2"/>
    <x v="0"/>
    <x v="3"/>
    <x v="1"/>
  </r>
  <r>
    <s v="ORD100040"/>
    <s v="CUST65082"/>
    <x v="6"/>
    <x v="40"/>
    <d v="2026-05-05T01:37:22"/>
    <n v="10.000000001164153"/>
    <n v="2321.75"/>
    <x v="2"/>
    <x v="1"/>
    <x v="4"/>
    <x v="1"/>
  </r>
  <r>
    <s v="ORD100041"/>
    <s v="CUST99131"/>
    <x v="6"/>
    <x v="41"/>
    <d v="2026-05-05T17:23:59"/>
    <n v="20.000000002328306"/>
    <n v="708.81"/>
    <x v="1"/>
    <x v="0"/>
    <x v="3"/>
    <x v="1"/>
  </r>
  <r>
    <s v="ORD100042"/>
    <s v="CUST54671"/>
    <x v="4"/>
    <x v="42"/>
    <d v="2026-05-05T15:22:18"/>
    <n v="19.999999991850927"/>
    <n v="2406.96"/>
    <x v="2"/>
    <x v="0"/>
    <x v="2"/>
    <x v="1"/>
  </r>
  <r>
    <s v="ORD100043"/>
    <s v="CUST25695"/>
    <x v="5"/>
    <x v="43"/>
    <d v="2026-05-27T06:08:08"/>
    <n v="19.000000009546056"/>
    <n v="1173"/>
    <x v="1"/>
    <x v="2"/>
    <x v="5"/>
    <x v="1"/>
  </r>
  <r>
    <s v="ORD100044"/>
    <s v="CUST80217"/>
    <x v="7"/>
    <x v="44"/>
    <d v="2026-05-27T12:05:24"/>
    <n v="8.0000000051222742"/>
    <n v="1052.02"/>
    <x v="1"/>
    <x v="0"/>
    <x v="0"/>
    <x v="1"/>
  </r>
  <r>
    <s v="ORD100045"/>
    <s v="CUST90284"/>
    <x v="2"/>
    <x v="45"/>
    <d v="2026-05-29T12:56:05"/>
    <n v="31.999999999534339"/>
    <n v="1842.15"/>
    <x v="2"/>
    <x v="0"/>
    <x v="0"/>
    <x v="0"/>
  </r>
  <r>
    <s v="ORD100046"/>
    <s v="CUST36361"/>
    <x v="2"/>
    <x v="46"/>
    <d v="2026-05-09T21:10:22"/>
    <n v="15.000000006984919"/>
    <n v="2458.1"/>
    <x v="2"/>
    <x v="0"/>
    <x v="2"/>
    <x v="1"/>
  </r>
  <r>
    <s v="ORD100047"/>
    <s v="CUST69615"/>
    <x v="3"/>
    <x v="47"/>
    <d v="2026-05-08T06:22:25"/>
    <n v="47.999999999301508"/>
    <n v="1528.83"/>
    <x v="2"/>
    <x v="2"/>
    <x v="5"/>
    <x v="0"/>
  </r>
  <r>
    <s v="ORD100048"/>
    <s v="CUST30328"/>
    <x v="2"/>
    <x v="48"/>
    <d v="2026-05-09T23:25:53"/>
    <n v="10.999999993946403"/>
    <n v="1341.26"/>
    <x v="1"/>
    <x v="0"/>
    <x v="4"/>
    <x v="1"/>
  </r>
  <r>
    <s v="ORD100049"/>
    <s v="CUST92357"/>
    <x v="7"/>
    <x v="49"/>
    <d v="2026-05-01T00:34:29"/>
    <n v="15.000000006984919"/>
    <n v="2483.19"/>
    <x v="2"/>
    <x v="0"/>
    <x v="0"/>
    <x v="1"/>
  </r>
  <r>
    <s v="ORD100050"/>
    <s v="CUST58427"/>
    <x v="3"/>
    <x v="50"/>
    <d v="2026-05-28T17:32:52"/>
    <n v="7.9999999946448952"/>
    <n v="823.42"/>
    <x v="1"/>
    <x v="0"/>
    <x v="1"/>
    <x v="1"/>
  </r>
  <r>
    <s v="ORD100051"/>
    <s v="CUST67400"/>
    <x v="3"/>
    <x v="51"/>
    <m/>
    <s v=" "/>
    <n v="819.8"/>
    <x v="1"/>
    <x v="0"/>
    <x v="1"/>
    <x v="2"/>
  </r>
  <r>
    <s v="ORD100052"/>
    <s v="CUST95674"/>
    <x v="1"/>
    <x v="52"/>
    <d v="2026-05-10T08:23:59"/>
    <n v="11.000000004423782"/>
    <n v="631.53"/>
    <x v="1"/>
    <x v="2"/>
    <x v="3"/>
    <x v="1"/>
  </r>
  <r>
    <s v="ORD100053"/>
    <s v="CUST45203"/>
    <x v="5"/>
    <x v="53"/>
    <d v="2026-05-08T02:10:42"/>
    <n v="18.999999999068677"/>
    <n v="2152.73"/>
    <x v="2"/>
    <x v="1"/>
    <x v="5"/>
    <x v="1"/>
  </r>
  <r>
    <s v="ORD100054"/>
    <s v="CUST29116"/>
    <x v="0"/>
    <x v="54"/>
    <d v="2026-05-27T19:57:59"/>
    <n v="8.0000000051222742"/>
    <n v="151.08000000000001"/>
    <x v="0"/>
    <x v="0"/>
    <x v="3"/>
    <x v="1"/>
  </r>
  <r>
    <s v="ORD100055"/>
    <s v="CUST26006"/>
    <x v="1"/>
    <x v="55"/>
    <d v="2026-05-02T07:55:04"/>
    <n v="42.000000000698492"/>
    <n v="2071.66"/>
    <x v="2"/>
    <x v="2"/>
    <x v="4"/>
    <x v="0"/>
  </r>
  <r>
    <s v="ORD100056"/>
    <s v="CUST49871"/>
    <x v="5"/>
    <x v="56"/>
    <d v="2026-05-07T19:20:28"/>
    <n v="18.000000006286427"/>
    <n v="1754.33"/>
    <x v="2"/>
    <x v="0"/>
    <x v="1"/>
    <x v="1"/>
  </r>
  <r>
    <s v="ORD100057"/>
    <s v="CUST57930"/>
    <x v="5"/>
    <x v="57"/>
    <d v="2026-05-04T08:06:02"/>
    <n v="18.999999999068677"/>
    <n v="761.3"/>
    <x v="1"/>
    <x v="2"/>
    <x v="3"/>
    <x v="1"/>
  </r>
  <r>
    <s v="ORD100058"/>
    <s v="CUST30458"/>
    <x v="5"/>
    <x v="58"/>
    <d v="2026-05-26T14:27:34"/>
    <n v="13.000000000465661"/>
    <n v="1427.79"/>
    <x v="1"/>
    <x v="0"/>
    <x v="5"/>
    <x v="1"/>
  </r>
  <r>
    <s v="ORD100059"/>
    <s v="CUST50512"/>
    <x v="6"/>
    <x v="59"/>
    <d v="2026-05-14T01:19:32"/>
    <n v="11.000000004423782"/>
    <n v="1434.18"/>
    <x v="1"/>
    <x v="1"/>
    <x v="4"/>
    <x v="1"/>
  </r>
  <r>
    <s v="ORD100060"/>
    <s v="CUST33238"/>
    <x v="1"/>
    <x v="60"/>
    <d v="2026-05-19T08:01:58"/>
    <n v="8.9999999979045242"/>
    <n v="2321.21"/>
    <x v="2"/>
    <x v="2"/>
    <x v="4"/>
    <x v="1"/>
  </r>
  <r>
    <s v="ORD100061"/>
    <s v="CUST69823"/>
    <x v="0"/>
    <x v="61"/>
    <d v="2026-05-21T18:55:49"/>
    <n v="17.000000003026798"/>
    <n v="470.32"/>
    <x v="0"/>
    <x v="0"/>
    <x v="5"/>
    <x v="1"/>
  </r>
  <r>
    <s v="ORD100062"/>
    <s v="CUST56434"/>
    <x v="4"/>
    <x v="62"/>
    <d v="2026-05-21T07:37:56"/>
    <n v="17.999999995809048"/>
    <n v="189.57"/>
    <x v="0"/>
    <x v="2"/>
    <x v="3"/>
    <x v="1"/>
  </r>
  <r>
    <s v="ORD100063"/>
    <s v="CUST79429"/>
    <x v="5"/>
    <x v="63"/>
    <d v="2026-05-10T21:45:14"/>
    <n v="11.999999997206032"/>
    <n v="952.57"/>
    <x v="1"/>
    <x v="0"/>
    <x v="2"/>
    <x v="1"/>
  </r>
  <r>
    <s v="ORD100064"/>
    <s v="CUST67819"/>
    <x v="0"/>
    <x v="64"/>
    <d v="2026-05-27T09:37:03"/>
    <n v="19.999999991850927"/>
    <n v="431.18"/>
    <x v="0"/>
    <x v="2"/>
    <x v="3"/>
    <x v="1"/>
  </r>
  <r>
    <s v="ORD100065"/>
    <s v="CUST41319"/>
    <x v="4"/>
    <x v="65"/>
    <d v="2026-05-12T21:02:27"/>
    <n v="18.999999999068677"/>
    <n v="980"/>
    <x v="1"/>
    <x v="0"/>
    <x v="0"/>
    <x v="1"/>
  </r>
  <r>
    <s v="ORD100066"/>
    <s v="CUST68520"/>
    <x v="7"/>
    <x v="66"/>
    <d v="2026-06-01T02:01:41"/>
    <n v="39.000000001396984"/>
    <n v="1496.17"/>
    <x v="1"/>
    <x v="1"/>
    <x v="5"/>
    <x v="0"/>
  </r>
  <r>
    <s v="ORD100067"/>
    <s v="CUST66566"/>
    <x v="4"/>
    <x v="67"/>
    <d v="2026-05-25T16:31:44"/>
    <n v="10.999999993946403"/>
    <n v="658.19"/>
    <x v="1"/>
    <x v="0"/>
    <x v="1"/>
    <x v="1"/>
  </r>
  <r>
    <s v="ORD100068"/>
    <s v="CUST47460"/>
    <x v="7"/>
    <x v="68"/>
    <d v="2026-05-27T14:05:19"/>
    <n v="56.000000004423782"/>
    <n v="2045.58"/>
    <x v="2"/>
    <x v="0"/>
    <x v="3"/>
    <x v="0"/>
  </r>
  <r>
    <s v="ORD100069"/>
    <s v="CUST54993"/>
    <x v="2"/>
    <x v="69"/>
    <d v="2026-05-25T06:01:34"/>
    <n v="13.000000000465661"/>
    <n v="319.57"/>
    <x v="0"/>
    <x v="2"/>
    <x v="2"/>
    <x v="1"/>
  </r>
  <r>
    <s v="ORD100070"/>
    <s v="CUST29358"/>
    <x v="4"/>
    <x v="70"/>
    <d v="2026-05-31T08:02:14"/>
    <n v="8.0000000051222742"/>
    <n v="1058.52"/>
    <x v="1"/>
    <x v="2"/>
    <x v="3"/>
    <x v="1"/>
  </r>
  <r>
    <s v="ORD100071"/>
    <s v="CUST99840"/>
    <x v="7"/>
    <x v="71"/>
    <d v="2026-05-20T22:21:51"/>
    <n v="11.999999997206032"/>
    <n v="2301.92"/>
    <x v="2"/>
    <x v="0"/>
    <x v="1"/>
    <x v="1"/>
  </r>
  <r>
    <s v="ORD100072"/>
    <s v="CUST42431"/>
    <x v="5"/>
    <x v="72"/>
    <m/>
    <s v=" "/>
    <n v="1861.24"/>
    <x v="2"/>
    <x v="0"/>
    <x v="4"/>
    <x v="2"/>
  </r>
  <r>
    <s v="ORD100073"/>
    <s v="CUST90010"/>
    <x v="6"/>
    <x v="73"/>
    <d v="2026-05-27T17:48:08"/>
    <n v="15.000000006984919"/>
    <n v="1835.59"/>
    <x v="2"/>
    <x v="0"/>
    <x v="3"/>
    <x v="1"/>
  </r>
  <r>
    <s v="ORD100074"/>
    <s v="CUST52087"/>
    <x v="4"/>
    <x v="74"/>
    <d v="2026-05-25T07:35:13"/>
    <n v="18.999999999068677"/>
    <n v="2001.97"/>
    <x v="2"/>
    <x v="2"/>
    <x v="4"/>
    <x v="1"/>
  </r>
  <r>
    <s v="ORD100075"/>
    <s v="CUST41417"/>
    <x v="3"/>
    <x v="75"/>
    <d v="2026-05-22T20:24:59"/>
    <n v="18.999999999068677"/>
    <n v="513.97"/>
    <x v="1"/>
    <x v="0"/>
    <x v="0"/>
    <x v="1"/>
  </r>
  <r>
    <s v="ORD100076"/>
    <s v="CUST80589"/>
    <x v="7"/>
    <x v="76"/>
    <d v="2026-05-29T11:22:34"/>
    <n v="17.000000003026798"/>
    <n v="2080.69"/>
    <x v="2"/>
    <x v="2"/>
    <x v="1"/>
    <x v="1"/>
  </r>
  <r>
    <s v="ORD100077"/>
    <s v="CUST69735"/>
    <x v="1"/>
    <x v="77"/>
    <d v="2026-05-13T01:55:24"/>
    <n v="37.999999998137355"/>
    <n v="1754.03"/>
    <x v="2"/>
    <x v="1"/>
    <x v="2"/>
    <x v="0"/>
  </r>
  <r>
    <s v="ORD100078"/>
    <s v="CUST55382"/>
    <x v="7"/>
    <x v="78"/>
    <d v="2026-05-03T02:20:51"/>
    <n v="7.9999999946448952"/>
    <n v="1481.96"/>
    <x v="1"/>
    <x v="1"/>
    <x v="3"/>
    <x v="1"/>
  </r>
  <r>
    <s v="ORD100079"/>
    <s v="CUST93000"/>
    <x v="4"/>
    <x v="79"/>
    <d v="2026-05-14T15:24:55"/>
    <n v="10.999999993946403"/>
    <n v="2277.37"/>
    <x v="2"/>
    <x v="0"/>
    <x v="4"/>
    <x v="1"/>
  </r>
  <r>
    <s v="ORD100080"/>
    <s v="CUST48785"/>
    <x v="7"/>
    <x v="80"/>
    <d v="2026-05-22T10:16:00"/>
    <n v="17.999999995809048"/>
    <n v="1527.55"/>
    <x v="2"/>
    <x v="2"/>
    <x v="2"/>
    <x v="1"/>
  </r>
  <r>
    <s v="ORD100081"/>
    <s v="CUST62504"/>
    <x v="0"/>
    <x v="81"/>
    <d v="2026-05-14T07:37:07"/>
    <n v="49.999999995343387"/>
    <n v="819.94"/>
    <x v="1"/>
    <x v="2"/>
    <x v="4"/>
    <x v="0"/>
  </r>
  <r>
    <s v="ORD100082"/>
    <s v="CUST27331"/>
    <x v="1"/>
    <x v="82"/>
    <d v="2026-05-31T07:53:38"/>
    <n v="8.9999999979045242"/>
    <n v="1852.89"/>
    <x v="2"/>
    <x v="2"/>
    <x v="4"/>
    <x v="1"/>
  </r>
  <r>
    <s v="ORD100083"/>
    <s v="CUST50021"/>
    <x v="4"/>
    <x v="83"/>
    <d v="2026-05-14T13:10:15"/>
    <n v="12.000000007683411"/>
    <n v="1482.08"/>
    <x v="1"/>
    <x v="0"/>
    <x v="4"/>
    <x v="1"/>
  </r>
  <r>
    <s v="ORD100084"/>
    <s v="CUST24207"/>
    <x v="6"/>
    <x v="84"/>
    <d v="2026-05-21T09:41:29"/>
    <n v="16.999999992549419"/>
    <n v="287.35000000000002"/>
    <x v="0"/>
    <x v="2"/>
    <x v="3"/>
    <x v="1"/>
  </r>
  <r>
    <s v="ORD100085"/>
    <s v="CUST61347"/>
    <x v="0"/>
    <x v="85"/>
    <d v="2026-05-23T09:32:23"/>
    <n v="15.999999999767169"/>
    <n v="233.21"/>
    <x v="0"/>
    <x v="2"/>
    <x v="4"/>
    <x v="1"/>
  </r>
  <r>
    <s v="ORD100086"/>
    <s v="CUST72581"/>
    <x v="1"/>
    <x v="86"/>
    <d v="2026-06-01T14:21:51"/>
    <n v="14.99999999650754"/>
    <n v="1949.16"/>
    <x v="2"/>
    <x v="0"/>
    <x v="0"/>
    <x v="1"/>
  </r>
  <r>
    <s v="ORD100087"/>
    <s v="CUST55093"/>
    <x v="3"/>
    <x v="87"/>
    <d v="2026-05-31T11:33:13"/>
    <n v="35.000000009313226"/>
    <n v="934.03"/>
    <x v="1"/>
    <x v="2"/>
    <x v="0"/>
    <x v="0"/>
  </r>
  <r>
    <s v="ORD100088"/>
    <s v="CUST28675"/>
    <x v="7"/>
    <x v="88"/>
    <d v="2026-05-24T10:42:02"/>
    <n v="15.999999999767169"/>
    <n v="2060.14"/>
    <x v="2"/>
    <x v="2"/>
    <x v="1"/>
    <x v="1"/>
  </r>
  <r>
    <s v="ORD100089"/>
    <s v="CUST47653"/>
    <x v="7"/>
    <x v="89"/>
    <d v="2026-05-15T23:20:01"/>
    <n v="11.000000004423782"/>
    <n v="1098.6500000000001"/>
    <x v="1"/>
    <x v="0"/>
    <x v="5"/>
    <x v="1"/>
  </r>
  <r>
    <s v="ORD100090"/>
    <s v="CUST94341"/>
    <x v="2"/>
    <x v="90"/>
    <d v="2026-05-17T18:17:37"/>
    <n v="17.999999995809048"/>
    <n v="2181.79"/>
    <x v="2"/>
    <x v="0"/>
    <x v="2"/>
    <x v="1"/>
  </r>
  <r>
    <s v="ORD100091"/>
    <s v="CUST61245"/>
    <x v="1"/>
    <x v="91"/>
    <d v="2026-05-27T09:28:12"/>
    <n v="18.999999999068677"/>
    <n v="2186.4899999999998"/>
    <x v="2"/>
    <x v="2"/>
    <x v="0"/>
    <x v="1"/>
  </r>
  <r>
    <s v="ORD100092"/>
    <s v="CUST47869"/>
    <x v="7"/>
    <x v="92"/>
    <d v="2026-05-22T07:41:36"/>
    <n v="17.000000003026798"/>
    <n v="643.12"/>
    <x v="1"/>
    <x v="2"/>
    <x v="2"/>
    <x v="1"/>
  </r>
  <r>
    <s v="ORD100093"/>
    <s v="CUST85435"/>
    <x v="2"/>
    <x v="93"/>
    <d v="2026-05-16T15:53:41"/>
    <n v="17.999999995809048"/>
    <n v="1665.67"/>
    <x v="2"/>
    <x v="0"/>
    <x v="0"/>
    <x v="1"/>
  </r>
  <r>
    <s v="ORD100094"/>
    <s v="CUST71856"/>
    <x v="2"/>
    <x v="94"/>
    <d v="2026-05-22T09:06:52"/>
    <n v="18.000000006286427"/>
    <n v="1544.52"/>
    <x v="2"/>
    <x v="2"/>
    <x v="3"/>
    <x v="1"/>
  </r>
  <r>
    <s v="ORD100095"/>
    <s v="CUST80142"/>
    <x v="4"/>
    <x v="95"/>
    <d v="2026-06-01T23:58:47"/>
    <n v="17.000000003026798"/>
    <n v="126.44"/>
    <x v="0"/>
    <x v="0"/>
    <x v="3"/>
    <x v="1"/>
  </r>
  <r>
    <s v="ORD100096"/>
    <s v="CUST38726"/>
    <x v="7"/>
    <x v="96"/>
    <d v="2026-06-01T14:27:46"/>
    <n v="17.000000003026798"/>
    <n v="1964.8"/>
    <x v="2"/>
    <x v="0"/>
    <x v="3"/>
    <x v="1"/>
  </r>
  <r>
    <s v="ORD100097"/>
    <s v="CUST54718"/>
    <x v="0"/>
    <x v="97"/>
    <d v="2026-05-23T05:18:46"/>
    <n v="10.000000001164153"/>
    <n v="1016.97"/>
    <x v="1"/>
    <x v="2"/>
    <x v="0"/>
    <x v="1"/>
  </r>
  <r>
    <s v="ORD100098"/>
    <s v="CUST38301"/>
    <x v="3"/>
    <x v="98"/>
    <d v="2026-06-01T06:27:56"/>
    <n v="29.000000000232831"/>
    <n v="830.48"/>
    <x v="1"/>
    <x v="2"/>
    <x v="5"/>
    <x v="0"/>
  </r>
  <r>
    <s v="ORD100099"/>
    <s v="CUST52325"/>
    <x v="0"/>
    <x v="99"/>
    <d v="2026-05-04T16:19:53"/>
    <n v="17.000000003026798"/>
    <n v="197.84"/>
    <x v="0"/>
    <x v="0"/>
    <x v="1"/>
    <x v="1"/>
  </r>
  <r>
    <s v="ORD100100"/>
    <s v="CUST93579"/>
    <x v="0"/>
    <x v="100"/>
    <d v="2026-05-05T21:13:48"/>
    <n v="10.000000001164153"/>
    <n v="1394.83"/>
    <x v="1"/>
    <x v="0"/>
    <x v="2"/>
    <x v="1"/>
  </r>
  <r>
    <s v="ORD100101"/>
    <s v="CUST90644"/>
    <x v="7"/>
    <x v="101"/>
    <m/>
    <s v=" "/>
    <n v="457.99"/>
    <x v="0"/>
    <x v="0"/>
    <x v="2"/>
    <x v="2"/>
  </r>
  <r>
    <s v="ORD100102"/>
    <s v="CUST54438"/>
    <x v="5"/>
    <x v="102"/>
    <d v="2026-05-15T03:04:09"/>
    <n v="18.999999999068677"/>
    <n v="1304.76"/>
    <x v="1"/>
    <x v="1"/>
    <x v="3"/>
    <x v="1"/>
  </r>
  <r>
    <s v="ORD100103"/>
    <s v="CUST96622"/>
    <x v="6"/>
    <x v="103"/>
    <d v="2026-05-01T06:41:29"/>
    <n v="8.9999999979045242"/>
    <n v="628.91"/>
    <x v="1"/>
    <x v="2"/>
    <x v="3"/>
    <x v="1"/>
  </r>
  <r>
    <s v="ORD100104"/>
    <s v="CUST76155"/>
    <x v="2"/>
    <x v="104"/>
    <m/>
    <s v=" "/>
    <n v="220.25"/>
    <x v="0"/>
    <x v="0"/>
    <x v="1"/>
    <x v="2"/>
  </r>
  <r>
    <s v="ORD100105"/>
    <s v="CUST96484"/>
    <x v="7"/>
    <x v="105"/>
    <d v="2026-05-31T21:41:01"/>
    <n v="10.000000001164153"/>
    <n v="1854.79"/>
    <x v="2"/>
    <x v="0"/>
    <x v="0"/>
    <x v="1"/>
  </r>
  <r>
    <s v="ORD100106"/>
    <s v="CUST72350"/>
    <x v="4"/>
    <x v="106"/>
    <d v="2026-05-01T17:47:26"/>
    <n v="11.999999997206032"/>
    <n v="1041.92"/>
    <x v="1"/>
    <x v="0"/>
    <x v="4"/>
    <x v="1"/>
  </r>
  <r>
    <s v="ORD100107"/>
    <s v="CUST67447"/>
    <x v="2"/>
    <x v="107"/>
    <d v="2026-05-01T00:50:46"/>
    <n v="16.999999992549419"/>
    <n v="1168.48"/>
    <x v="1"/>
    <x v="0"/>
    <x v="1"/>
    <x v="1"/>
  </r>
  <r>
    <s v="ORD100108"/>
    <s v="CUST48746"/>
    <x v="3"/>
    <x v="108"/>
    <d v="2026-05-18T17:29:01"/>
    <n v="10.999999993946403"/>
    <n v="1527.32"/>
    <x v="2"/>
    <x v="0"/>
    <x v="3"/>
    <x v="1"/>
  </r>
  <r>
    <s v="ORD100109"/>
    <s v="CUST38131"/>
    <x v="5"/>
    <x v="109"/>
    <d v="2026-05-28T05:22:58"/>
    <n v="15.999999999767169"/>
    <n v="1310.3499999999999"/>
    <x v="1"/>
    <x v="2"/>
    <x v="0"/>
    <x v="1"/>
  </r>
  <r>
    <s v="ORD100110"/>
    <s v="CUST86784"/>
    <x v="6"/>
    <x v="110"/>
    <d v="2026-05-07T16:28:15"/>
    <n v="18.999999999068677"/>
    <n v="632.01"/>
    <x v="1"/>
    <x v="0"/>
    <x v="2"/>
    <x v="1"/>
  </r>
  <r>
    <s v="ORD100111"/>
    <s v="CUST84686"/>
    <x v="7"/>
    <x v="111"/>
    <d v="2026-05-13T19:53:16"/>
    <n v="20.000000002328306"/>
    <n v="794.48"/>
    <x v="1"/>
    <x v="0"/>
    <x v="1"/>
    <x v="1"/>
  </r>
  <r>
    <s v="ORD100112"/>
    <s v="CUST31915"/>
    <x v="3"/>
    <x v="112"/>
    <d v="2026-05-23T09:02:25"/>
    <n v="11.999999997206032"/>
    <n v="1045.3699999999999"/>
    <x v="1"/>
    <x v="2"/>
    <x v="4"/>
    <x v="1"/>
  </r>
  <r>
    <s v="ORD100113"/>
    <s v="CUST26175"/>
    <x v="1"/>
    <x v="113"/>
    <d v="2026-05-06T11:36:29"/>
    <n v="11.000000004423782"/>
    <n v="416.25"/>
    <x v="0"/>
    <x v="2"/>
    <x v="0"/>
    <x v="1"/>
  </r>
  <r>
    <s v="ORD100114"/>
    <s v="CUST34371"/>
    <x v="5"/>
    <x v="114"/>
    <d v="2026-05-16T22:32:19"/>
    <n v="17.999999995809048"/>
    <n v="297.11"/>
    <x v="0"/>
    <x v="0"/>
    <x v="5"/>
    <x v="1"/>
  </r>
  <r>
    <s v="ORD100115"/>
    <s v="CUST40033"/>
    <x v="0"/>
    <x v="115"/>
    <d v="2026-05-06T21:02:41"/>
    <n v="7.9999999946448952"/>
    <n v="1470.46"/>
    <x v="1"/>
    <x v="0"/>
    <x v="5"/>
    <x v="1"/>
  </r>
  <r>
    <s v="ORD100116"/>
    <s v="CUST40969"/>
    <x v="5"/>
    <x v="116"/>
    <d v="2026-05-03T02:44:24"/>
    <n v="18.999999999068677"/>
    <n v="217.35"/>
    <x v="0"/>
    <x v="1"/>
    <x v="2"/>
    <x v="1"/>
  </r>
  <r>
    <s v="ORD100117"/>
    <s v="CUST75333"/>
    <x v="3"/>
    <x v="117"/>
    <d v="2026-05-25T17:48:03"/>
    <n v="18.000000006286427"/>
    <n v="1057.06"/>
    <x v="1"/>
    <x v="0"/>
    <x v="4"/>
    <x v="1"/>
  </r>
  <r>
    <s v="ORD100118"/>
    <s v="CUST98172"/>
    <x v="7"/>
    <x v="118"/>
    <d v="2026-05-01T22:26:05"/>
    <n v="15.999999999767169"/>
    <n v="303.19"/>
    <x v="0"/>
    <x v="0"/>
    <x v="1"/>
    <x v="1"/>
  </r>
  <r>
    <s v="ORD100119"/>
    <s v="CUST28326"/>
    <x v="5"/>
    <x v="119"/>
    <d v="2026-06-01T14:22:50"/>
    <n v="40.999999997438863"/>
    <n v="1303.3800000000001"/>
    <x v="1"/>
    <x v="0"/>
    <x v="3"/>
    <x v="0"/>
  </r>
  <r>
    <s v="ORD100120"/>
    <s v="CUST70432"/>
    <x v="7"/>
    <x v="120"/>
    <d v="2026-05-22T19:12:06"/>
    <n v="17.999999995809048"/>
    <n v="1956.18"/>
    <x v="2"/>
    <x v="0"/>
    <x v="3"/>
    <x v="1"/>
  </r>
  <r>
    <s v="ORD100121"/>
    <s v="CUST70019"/>
    <x v="4"/>
    <x v="121"/>
    <d v="2026-05-03T07:29:57"/>
    <n v="15.999999999767169"/>
    <n v="411.9"/>
    <x v="0"/>
    <x v="2"/>
    <x v="4"/>
    <x v="1"/>
  </r>
  <r>
    <s v="ORD100122"/>
    <s v="CUST98104"/>
    <x v="7"/>
    <x v="122"/>
    <d v="2026-05-31T08:17:59"/>
    <n v="14.99999999650754"/>
    <n v="422.69"/>
    <x v="0"/>
    <x v="2"/>
    <x v="1"/>
    <x v="1"/>
  </r>
  <r>
    <s v="ORD100123"/>
    <s v="CUST81348"/>
    <x v="3"/>
    <x v="123"/>
    <d v="2026-05-05T22:24:17"/>
    <n v="25.000000008149073"/>
    <n v="1441.31"/>
    <x v="1"/>
    <x v="0"/>
    <x v="4"/>
    <x v="0"/>
  </r>
  <r>
    <s v="ORD100124"/>
    <s v="CUST89352"/>
    <x v="6"/>
    <x v="124"/>
    <d v="2026-05-03T06:13:54"/>
    <n v="14.00000000372529"/>
    <n v="1269.8699999999999"/>
    <x v="1"/>
    <x v="2"/>
    <x v="1"/>
    <x v="1"/>
  </r>
  <r>
    <s v="ORD100125"/>
    <s v="CUST52953"/>
    <x v="4"/>
    <x v="125"/>
    <d v="2026-05-21T00:31:37"/>
    <n v="18.000000006286427"/>
    <n v="1664.4"/>
    <x v="2"/>
    <x v="0"/>
    <x v="5"/>
    <x v="1"/>
  </r>
  <r>
    <s v="ORD100126"/>
    <s v="CUST92512"/>
    <x v="6"/>
    <x v="126"/>
    <d v="2026-05-10T23:10:25"/>
    <n v="17.999999995809048"/>
    <n v="569.64"/>
    <x v="1"/>
    <x v="0"/>
    <x v="1"/>
    <x v="1"/>
  </r>
  <r>
    <s v="ORD100127"/>
    <s v="CUST21504"/>
    <x v="5"/>
    <x v="127"/>
    <d v="2026-05-05T09:28:36"/>
    <n v="17.999999995809048"/>
    <n v="1577.39"/>
    <x v="2"/>
    <x v="2"/>
    <x v="1"/>
    <x v="1"/>
  </r>
  <r>
    <s v="ORD100128"/>
    <s v="CUST35014"/>
    <x v="0"/>
    <x v="128"/>
    <d v="2026-05-16T19:01:54"/>
    <n v="8.0000000051222742"/>
    <n v="1864.6"/>
    <x v="2"/>
    <x v="0"/>
    <x v="3"/>
    <x v="1"/>
  </r>
  <r>
    <s v="ORD100129"/>
    <s v="CUST90381"/>
    <x v="1"/>
    <x v="129"/>
    <d v="2026-05-25T22:10:34"/>
    <n v="13.000000000465661"/>
    <n v="689.99"/>
    <x v="1"/>
    <x v="0"/>
    <x v="2"/>
    <x v="1"/>
  </r>
  <r>
    <s v="ORD100130"/>
    <s v="CUST54973"/>
    <x v="3"/>
    <x v="130"/>
    <d v="2026-05-22T13:02:47"/>
    <n v="13.999999993247911"/>
    <n v="270.95"/>
    <x v="0"/>
    <x v="0"/>
    <x v="0"/>
    <x v="1"/>
  </r>
  <r>
    <s v="ORD100131"/>
    <s v="CUST64587"/>
    <x v="6"/>
    <x v="131"/>
    <d v="2026-05-09T23:37:05"/>
    <n v="50.999999998603016"/>
    <n v="1963.25"/>
    <x v="2"/>
    <x v="0"/>
    <x v="0"/>
    <x v="0"/>
  </r>
  <r>
    <s v="ORD100132"/>
    <s v="CUST34621"/>
    <x v="1"/>
    <x v="132"/>
    <d v="2026-05-23T01:18:27"/>
    <n v="12.000000007683411"/>
    <n v="875.19"/>
    <x v="1"/>
    <x v="1"/>
    <x v="3"/>
    <x v="1"/>
  </r>
  <r>
    <s v="ORD100133"/>
    <s v="CUST58469"/>
    <x v="2"/>
    <x v="133"/>
    <d v="2026-05-15T02:30:38"/>
    <n v="8.9999999979045242"/>
    <n v="2316.9299999999998"/>
    <x v="2"/>
    <x v="1"/>
    <x v="5"/>
    <x v="1"/>
  </r>
  <r>
    <s v="ORD100134"/>
    <s v="CUST76985"/>
    <x v="7"/>
    <x v="134"/>
    <d v="2026-05-26T10:19:40"/>
    <n v="18.000000006286427"/>
    <n v="314.02999999999997"/>
    <x v="0"/>
    <x v="2"/>
    <x v="4"/>
    <x v="1"/>
  </r>
  <r>
    <s v="ORD100135"/>
    <s v="CUST40730"/>
    <x v="6"/>
    <x v="135"/>
    <d v="2026-05-18T14:47:14"/>
    <n v="15.999999999767169"/>
    <n v="1711.19"/>
    <x v="2"/>
    <x v="0"/>
    <x v="3"/>
    <x v="1"/>
  </r>
  <r>
    <s v="ORD100136"/>
    <s v="CUST79470"/>
    <x v="4"/>
    <x v="136"/>
    <d v="2026-05-23T17:39:27"/>
    <n v="14.99999999650754"/>
    <n v="1115.5"/>
    <x v="1"/>
    <x v="0"/>
    <x v="4"/>
    <x v="1"/>
  </r>
  <r>
    <s v="ORD100137"/>
    <s v="CUST20425"/>
    <x v="3"/>
    <x v="137"/>
    <d v="2026-05-12T21:52:42"/>
    <n v="14.99999999650754"/>
    <n v="934.94"/>
    <x v="1"/>
    <x v="0"/>
    <x v="3"/>
    <x v="1"/>
  </r>
  <r>
    <s v="ORD100138"/>
    <s v="CUST54522"/>
    <x v="7"/>
    <x v="138"/>
    <d v="2026-05-25T03:02:39"/>
    <n v="13.000000000465661"/>
    <n v="868.77"/>
    <x v="1"/>
    <x v="1"/>
    <x v="0"/>
    <x v="1"/>
  </r>
  <r>
    <s v="ORD100139"/>
    <s v="CUST85612"/>
    <x v="1"/>
    <x v="139"/>
    <d v="2026-05-19T08:01:04"/>
    <n v="15.999999999767169"/>
    <n v="1524.31"/>
    <x v="2"/>
    <x v="2"/>
    <x v="2"/>
    <x v="1"/>
  </r>
  <r>
    <s v="ORD100140"/>
    <s v="CUST43416"/>
    <x v="3"/>
    <x v="140"/>
    <d v="2026-05-06T08:36:24"/>
    <n v="27.000000004190952"/>
    <n v="157.1"/>
    <x v="0"/>
    <x v="2"/>
    <x v="2"/>
    <x v="0"/>
  </r>
  <r>
    <s v="ORD100141"/>
    <s v="CUST86542"/>
    <x v="6"/>
    <x v="141"/>
    <d v="2026-05-10T23:43:20"/>
    <n v="18.999999999068677"/>
    <n v="830.57"/>
    <x v="1"/>
    <x v="0"/>
    <x v="3"/>
    <x v="1"/>
  </r>
  <r>
    <s v="ORD100142"/>
    <s v="CUST33947"/>
    <x v="0"/>
    <x v="142"/>
    <d v="2026-05-24T03:16:00"/>
    <n v="11.000000004423782"/>
    <n v="2469.36"/>
    <x v="2"/>
    <x v="1"/>
    <x v="3"/>
    <x v="1"/>
  </r>
  <r>
    <s v="ORD100143"/>
    <s v="CUST59117"/>
    <x v="4"/>
    <x v="143"/>
    <d v="2026-05-20T14:51:48"/>
    <n v="27.999999996973202"/>
    <n v="1577.93"/>
    <x v="2"/>
    <x v="0"/>
    <x v="0"/>
    <x v="0"/>
  </r>
  <r>
    <s v="ORD100144"/>
    <s v="CUST86540"/>
    <x v="2"/>
    <x v="144"/>
    <m/>
    <s v=" "/>
    <n v="2475.38"/>
    <x v="2"/>
    <x v="0"/>
    <x v="4"/>
    <x v="2"/>
  </r>
  <r>
    <s v="ORD100145"/>
    <s v="CUST99818"/>
    <x v="3"/>
    <x v="145"/>
    <d v="2026-05-12T13:40:35"/>
    <n v="11.999999997206032"/>
    <n v="1160.3"/>
    <x v="1"/>
    <x v="0"/>
    <x v="4"/>
    <x v="1"/>
  </r>
  <r>
    <s v="ORD100146"/>
    <s v="CUST46071"/>
    <x v="0"/>
    <x v="146"/>
    <d v="2026-05-27T03:15:05"/>
    <n v="13.999999993247911"/>
    <n v="448.96"/>
    <x v="0"/>
    <x v="1"/>
    <x v="0"/>
    <x v="1"/>
  </r>
  <r>
    <s v="ORD100147"/>
    <s v="CUST40032"/>
    <x v="6"/>
    <x v="147"/>
    <d v="2026-05-23T18:04:38"/>
    <n v="59.00000000372529"/>
    <n v="206.71"/>
    <x v="0"/>
    <x v="0"/>
    <x v="5"/>
    <x v="0"/>
  </r>
  <r>
    <s v="ORD100148"/>
    <s v="CUST69009"/>
    <x v="4"/>
    <x v="148"/>
    <d v="2026-05-21T12:15:18"/>
    <n v="15.000000006984919"/>
    <n v="2062.61"/>
    <x v="2"/>
    <x v="0"/>
    <x v="5"/>
    <x v="1"/>
  </r>
  <r>
    <s v="ORD100149"/>
    <s v="CUST41174"/>
    <x v="7"/>
    <x v="149"/>
    <d v="2026-05-27T13:02:05"/>
    <n v="13.000000000465661"/>
    <n v="578.24"/>
    <x v="1"/>
    <x v="0"/>
    <x v="3"/>
    <x v="1"/>
  </r>
  <r>
    <s v="ORD100150"/>
    <s v="CUST90697"/>
    <x v="1"/>
    <x v="150"/>
    <d v="2026-05-16T18:58:10"/>
    <n v="24.999999997671694"/>
    <n v="996.17"/>
    <x v="1"/>
    <x v="0"/>
    <x v="2"/>
    <x v="0"/>
  </r>
  <r>
    <s v="ORD100151"/>
    <s v="CUST89514"/>
    <x v="6"/>
    <x v="151"/>
    <d v="2026-05-25T05:58:17"/>
    <n v="49.999999995343387"/>
    <n v="1917.56"/>
    <x v="2"/>
    <x v="2"/>
    <x v="5"/>
    <x v="0"/>
  </r>
  <r>
    <s v="ORD100152"/>
    <s v="CUST20074"/>
    <x v="5"/>
    <x v="152"/>
    <d v="2026-05-20T08:42:09"/>
    <n v="10.999999993946403"/>
    <n v="2145.63"/>
    <x v="2"/>
    <x v="2"/>
    <x v="5"/>
    <x v="1"/>
  </r>
  <r>
    <s v="ORD100153"/>
    <s v="CUST98504"/>
    <x v="2"/>
    <x v="153"/>
    <d v="2026-05-05T05:40:17"/>
    <n v="13.000000000465661"/>
    <n v="368.69"/>
    <x v="0"/>
    <x v="2"/>
    <x v="1"/>
    <x v="1"/>
  </r>
  <r>
    <s v="ORD100154"/>
    <s v="CUST62487"/>
    <x v="2"/>
    <x v="154"/>
    <d v="2026-05-27T09:39:50"/>
    <n v="8.9999999979045242"/>
    <n v="229.89"/>
    <x v="0"/>
    <x v="2"/>
    <x v="2"/>
    <x v="1"/>
  </r>
  <r>
    <s v="ORD100155"/>
    <s v="CUST84042"/>
    <x v="7"/>
    <x v="155"/>
    <d v="2026-05-05T11:33:15"/>
    <n v="17.000000003026798"/>
    <n v="2376.46"/>
    <x v="2"/>
    <x v="2"/>
    <x v="4"/>
    <x v="1"/>
  </r>
  <r>
    <s v="ORD100156"/>
    <s v="CUST22552"/>
    <x v="4"/>
    <x v="156"/>
    <m/>
    <s v=" "/>
    <n v="2323.15"/>
    <x v="2"/>
    <x v="0"/>
    <x v="4"/>
    <x v="2"/>
  </r>
  <r>
    <s v="ORD100157"/>
    <s v="CUST34662"/>
    <x v="6"/>
    <x v="157"/>
    <d v="2026-05-30T03:28:19"/>
    <n v="20.000000002328306"/>
    <n v="2184.0100000000002"/>
    <x v="2"/>
    <x v="1"/>
    <x v="0"/>
    <x v="1"/>
  </r>
  <r>
    <s v="ORD100158"/>
    <s v="CUST67576"/>
    <x v="6"/>
    <x v="158"/>
    <d v="2026-05-01T12:29:53"/>
    <n v="7.9999999946448952"/>
    <n v="2067.3200000000002"/>
    <x v="2"/>
    <x v="0"/>
    <x v="4"/>
    <x v="1"/>
  </r>
  <r>
    <s v="ORD100159"/>
    <s v="CUST60306"/>
    <x v="0"/>
    <x v="159"/>
    <d v="2026-05-25T10:47:21"/>
    <n v="18.999999999068677"/>
    <n v="131.96"/>
    <x v="0"/>
    <x v="2"/>
    <x v="1"/>
    <x v="1"/>
  </r>
  <r>
    <s v="ORD100160"/>
    <s v="CUST51385"/>
    <x v="5"/>
    <x v="160"/>
    <d v="2026-05-28T20:49:08"/>
    <n v="10.999999993946403"/>
    <n v="1764.11"/>
    <x v="2"/>
    <x v="0"/>
    <x v="3"/>
    <x v="1"/>
  </r>
  <r>
    <s v="ORD100161"/>
    <s v="CUST27592"/>
    <x v="1"/>
    <x v="161"/>
    <m/>
    <s v=" "/>
    <n v="366.07"/>
    <x v="0"/>
    <x v="0"/>
    <x v="3"/>
    <x v="2"/>
  </r>
  <r>
    <s v="ORD100162"/>
    <s v="CUST51571"/>
    <x v="4"/>
    <x v="162"/>
    <d v="2026-05-13T15:39:11"/>
    <n v="18.999999999068677"/>
    <n v="1179.1500000000001"/>
    <x v="1"/>
    <x v="0"/>
    <x v="4"/>
    <x v="1"/>
  </r>
  <r>
    <s v="ORD100163"/>
    <s v="CUST94364"/>
    <x v="3"/>
    <x v="163"/>
    <d v="2026-05-26T11:10:47"/>
    <n v="52.000000001862645"/>
    <n v="153.6"/>
    <x v="0"/>
    <x v="2"/>
    <x v="2"/>
    <x v="0"/>
  </r>
  <r>
    <s v="ORD100164"/>
    <s v="CUST30322"/>
    <x v="1"/>
    <x v="164"/>
    <m/>
    <s v=" "/>
    <n v="600.62"/>
    <x v="1"/>
    <x v="0"/>
    <x v="1"/>
    <x v="2"/>
  </r>
  <r>
    <s v="ORD100165"/>
    <s v="CUST31226"/>
    <x v="5"/>
    <x v="165"/>
    <m/>
    <s v=" "/>
    <n v="1390.21"/>
    <x v="1"/>
    <x v="0"/>
    <x v="4"/>
    <x v="2"/>
  </r>
  <r>
    <s v="ORD100166"/>
    <s v="CUST83699"/>
    <x v="1"/>
    <x v="166"/>
    <d v="2026-05-26T11:16:59"/>
    <n v="8.9999999979045242"/>
    <n v="588.12"/>
    <x v="1"/>
    <x v="2"/>
    <x v="4"/>
    <x v="1"/>
  </r>
  <r>
    <s v="ORD100167"/>
    <s v="CUST29071"/>
    <x v="6"/>
    <x v="167"/>
    <d v="2026-05-13T19:14:11"/>
    <n v="40.000000004656613"/>
    <n v="1354.84"/>
    <x v="1"/>
    <x v="0"/>
    <x v="3"/>
    <x v="0"/>
  </r>
  <r>
    <s v="ORD100168"/>
    <s v="CUST89822"/>
    <x v="4"/>
    <x v="168"/>
    <d v="2026-05-02T23:40:45"/>
    <n v="10.999999993946403"/>
    <n v="719.78"/>
    <x v="1"/>
    <x v="0"/>
    <x v="0"/>
    <x v="1"/>
  </r>
  <r>
    <s v="ORD100169"/>
    <s v="CUST36483"/>
    <x v="1"/>
    <x v="169"/>
    <d v="2026-05-14T15:01:18"/>
    <n v="10.000000001164153"/>
    <n v="1258.26"/>
    <x v="1"/>
    <x v="0"/>
    <x v="2"/>
    <x v="1"/>
  </r>
  <r>
    <s v="ORD100170"/>
    <s v="CUST36828"/>
    <x v="7"/>
    <x v="170"/>
    <d v="2026-05-05T14:29:31"/>
    <n v="46.000000003259629"/>
    <n v="1850.82"/>
    <x v="2"/>
    <x v="0"/>
    <x v="1"/>
    <x v="0"/>
  </r>
  <r>
    <s v="ORD100171"/>
    <s v="CUST82296"/>
    <x v="2"/>
    <x v="171"/>
    <d v="2026-05-09T20:31:15"/>
    <n v="11.999999997206032"/>
    <n v="438.23"/>
    <x v="0"/>
    <x v="0"/>
    <x v="1"/>
    <x v="1"/>
  </r>
  <r>
    <s v="ORD100172"/>
    <s v="CUST92063"/>
    <x v="3"/>
    <x v="172"/>
    <d v="2026-05-17T21:18:45"/>
    <n v="9.0000000083819032"/>
    <n v="1776.01"/>
    <x v="2"/>
    <x v="0"/>
    <x v="5"/>
    <x v="1"/>
  </r>
  <r>
    <s v="ORD100173"/>
    <s v="CUST41643"/>
    <x v="0"/>
    <x v="173"/>
    <d v="2026-05-28T12:22:28"/>
    <n v="18.000000006286427"/>
    <n v="143.13"/>
    <x v="0"/>
    <x v="0"/>
    <x v="2"/>
    <x v="1"/>
  </r>
  <r>
    <s v="ORD100174"/>
    <s v="CUST54741"/>
    <x v="4"/>
    <x v="174"/>
    <d v="2026-05-31T18:43:34"/>
    <n v="17.999999995809048"/>
    <n v="1498.21"/>
    <x v="1"/>
    <x v="0"/>
    <x v="3"/>
    <x v="1"/>
  </r>
  <r>
    <s v="ORD100175"/>
    <s v="CUST89163"/>
    <x v="4"/>
    <x v="175"/>
    <d v="2026-05-27T17:11:50"/>
    <n v="9.0000000083819032"/>
    <n v="1691.47"/>
    <x v="2"/>
    <x v="0"/>
    <x v="0"/>
    <x v="1"/>
  </r>
  <r>
    <s v="ORD100176"/>
    <s v="CUST99507"/>
    <x v="0"/>
    <x v="176"/>
    <d v="2026-05-24T23:05:51"/>
    <n v="7.9999999946448952"/>
    <n v="203.36"/>
    <x v="0"/>
    <x v="0"/>
    <x v="0"/>
    <x v="1"/>
  </r>
  <r>
    <s v="ORD100177"/>
    <s v="CUST75461"/>
    <x v="3"/>
    <x v="177"/>
    <d v="2026-05-06T04:04:15"/>
    <n v="15.000000006984919"/>
    <n v="507.77"/>
    <x v="1"/>
    <x v="1"/>
    <x v="5"/>
    <x v="1"/>
  </r>
  <r>
    <s v="ORD100178"/>
    <s v="CUST47760"/>
    <x v="6"/>
    <x v="178"/>
    <d v="2026-05-23T05:55:39"/>
    <n v="14.00000000372529"/>
    <n v="780.63"/>
    <x v="1"/>
    <x v="2"/>
    <x v="3"/>
    <x v="1"/>
  </r>
  <r>
    <s v="ORD100179"/>
    <s v="CUST90686"/>
    <x v="3"/>
    <x v="179"/>
    <m/>
    <s v=" "/>
    <n v="1993.05"/>
    <x v="2"/>
    <x v="0"/>
    <x v="4"/>
    <x v="2"/>
  </r>
  <r>
    <s v="ORD100180"/>
    <s v="CUST46365"/>
    <x v="3"/>
    <x v="180"/>
    <d v="2026-05-26T11:10:27"/>
    <n v="20.000000002328306"/>
    <n v="1582.12"/>
    <x v="2"/>
    <x v="2"/>
    <x v="5"/>
    <x v="1"/>
  </r>
  <r>
    <s v="ORD100181"/>
    <s v="CUST60857"/>
    <x v="2"/>
    <x v="181"/>
    <d v="2026-05-07T00:14:16"/>
    <n v="8.0000000051222742"/>
    <n v="226.4"/>
    <x v="0"/>
    <x v="0"/>
    <x v="3"/>
    <x v="1"/>
  </r>
  <r>
    <s v="ORD100182"/>
    <s v="CUST72296"/>
    <x v="1"/>
    <x v="182"/>
    <d v="2026-05-15T17:04:33"/>
    <n v="17.000000003026798"/>
    <n v="1670.42"/>
    <x v="2"/>
    <x v="0"/>
    <x v="4"/>
    <x v="1"/>
  </r>
  <r>
    <s v="ORD100183"/>
    <s v="CUST68944"/>
    <x v="7"/>
    <x v="183"/>
    <d v="2026-05-15T14:43:25"/>
    <n v="20.000000002328306"/>
    <n v="119"/>
    <x v="0"/>
    <x v="0"/>
    <x v="3"/>
    <x v="1"/>
  </r>
  <r>
    <s v="ORD100184"/>
    <s v="CUST77422"/>
    <x v="0"/>
    <x v="184"/>
    <d v="2026-05-30T21:55:44"/>
    <n v="18.000000006286427"/>
    <n v="1031.75"/>
    <x v="1"/>
    <x v="0"/>
    <x v="0"/>
    <x v="1"/>
  </r>
  <r>
    <s v="ORD100185"/>
    <s v="CUST87839"/>
    <x v="6"/>
    <x v="185"/>
    <m/>
    <s v=" "/>
    <n v="750.14"/>
    <x v="1"/>
    <x v="0"/>
    <x v="2"/>
    <x v="2"/>
  </r>
  <r>
    <s v="ORD100186"/>
    <s v="CUST79177"/>
    <x v="4"/>
    <x v="186"/>
    <d v="2026-05-07T09:39:58"/>
    <n v="13.000000000465661"/>
    <n v="2144"/>
    <x v="2"/>
    <x v="2"/>
    <x v="3"/>
    <x v="1"/>
  </r>
  <r>
    <s v="ORD100187"/>
    <s v="CUST35860"/>
    <x v="6"/>
    <x v="187"/>
    <d v="2026-05-06T04:05:46"/>
    <n v="12.000000007683411"/>
    <n v="1683.24"/>
    <x v="2"/>
    <x v="1"/>
    <x v="2"/>
    <x v="1"/>
  </r>
  <r>
    <s v="ORD100188"/>
    <s v="CUST52493"/>
    <x v="0"/>
    <x v="188"/>
    <d v="2026-05-10T11:30:21"/>
    <n v="11.000000004423782"/>
    <n v="2173.2800000000002"/>
    <x v="2"/>
    <x v="2"/>
    <x v="3"/>
    <x v="1"/>
  </r>
  <r>
    <s v="ORD100189"/>
    <s v="CUST49451"/>
    <x v="2"/>
    <x v="189"/>
    <m/>
    <s v=" "/>
    <n v="144.79"/>
    <x v="0"/>
    <x v="0"/>
    <x v="4"/>
    <x v="2"/>
  </r>
  <r>
    <s v="ORD100190"/>
    <s v="CUST28392"/>
    <x v="2"/>
    <x v="190"/>
    <d v="2026-05-23T15:37:28"/>
    <n v="30.99999999627471"/>
    <n v="2180.79"/>
    <x v="2"/>
    <x v="0"/>
    <x v="2"/>
    <x v="0"/>
  </r>
  <r>
    <s v="ORD100191"/>
    <s v="CUST64313"/>
    <x v="3"/>
    <x v="191"/>
    <m/>
    <s v=" "/>
    <n v="1657.59"/>
    <x v="2"/>
    <x v="0"/>
    <x v="1"/>
    <x v="2"/>
  </r>
  <r>
    <s v="ORD100192"/>
    <s v="CUST22757"/>
    <x v="0"/>
    <x v="192"/>
    <d v="2026-05-03T22:22:01"/>
    <n v="14.99999999650754"/>
    <n v="653.79999999999995"/>
    <x v="1"/>
    <x v="0"/>
    <x v="2"/>
    <x v="1"/>
  </r>
  <r>
    <s v="ORD100193"/>
    <s v="CUST97110"/>
    <x v="5"/>
    <x v="193"/>
    <d v="2026-05-22T20:17:43"/>
    <n v="10.999999993946403"/>
    <n v="1012.68"/>
    <x v="1"/>
    <x v="0"/>
    <x v="4"/>
    <x v="1"/>
  </r>
  <r>
    <s v="ORD100194"/>
    <s v="CUST92603"/>
    <x v="0"/>
    <x v="194"/>
    <d v="2026-05-12T00:01:33"/>
    <n v="45.99999999278225"/>
    <n v="2442.87"/>
    <x v="2"/>
    <x v="0"/>
    <x v="2"/>
    <x v="0"/>
  </r>
  <r>
    <s v="ORD100195"/>
    <s v="CUST50161"/>
    <x v="6"/>
    <x v="195"/>
    <d v="2026-05-12T17:18:21"/>
    <n v="7.9999999946448952"/>
    <n v="338.05"/>
    <x v="0"/>
    <x v="0"/>
    <x v="3"/>
    <x v="1"/>
  </r>
  <r>
    <s v="ORD100196"/>
    <s v="CUST97128"/>
    <x v="0"/>
    <x v="196"/>
    <m/>
    <s v=" "/>
    <n v="856.09"/>
    <x v="1"/>
    <x v="0"/>
    <x v="3"/>
    <x v="2"/>
  </r>
  <r>
    <s v="ORD100197"/>
    <s v="CUST48864"/>
    <x v="0"/>
    <x v="197"/>
    <d v="2026-05-26T20:24:11"/>
    <n v="13.000000000465661"/>
    <n v="2179.25"/>
    <x v="2"/>
    <x v="0"/>
    <x v="1"/>
    <x v="1"/>
  </r>
  <r>
    <s v="ORD100198"/>
    <s v="CUST20942"/>
    <x v="0"/>
    <x v="198"/>
    <d v="2026-05-28T12:59:47"/>
    <n v="58.000000000465661"/>
    <n v="1374.75"/>
    <x v="1"/>
    <x v="0"/>
    <x v="2"/>
    <x v="0"/>
  </r>
  <r>
    <s v="ORD100199"/>
    <s v="CUST29305"/>
    <x v="3"/>
    <x v="199"/>
    <d v="2026-05-13T14:57:27"/>
    <n v="20.000000002328306"/>
    <n v="546.4"/>
    <x v="1"/>
    <x v="0"/>
    <x v="3"/>
    <x v="1"/>
  </r>
  <r>
    <s v="ORD100200"/>
    <s v="CUST27716"/>
    <x v="5"/>
    <x v="200"/>
    <m/>
    <s v=" "/>
    <n v="1300.56"/>
    <x v="1"/>
    <x v="0"/>
    <x v="2"/>
    <x v="2"/>
  </r>
  <r>
    <s v="ORD100201"/>
    <s v="CUST50007"/>
    <x v="2"/>
    <x v="201"/>
    <d v="2026-05-14T08:59:45"/>
    <n v="11.000000004423782"/>
    <n v="1198.17"/>
    <x v="1"/>
    <x v="2"/>
    <x v="5"/>
    <x v="1"/>
  </r>
  <r>
    <s v="ORD100202"/>
    <s v="CUST28834"/>
    <x v="7"/>
    <x v="202"/>
    <d v="2026-05-05T18:15:51"/>
    <n v="8.9999999979045242"/>
    <n v="2322.2399999999998"/>
    <x v="2"/>
    <x v="0"/>
    <x v="3"/>
    <x v="1"/>
  </r>
  <r>
    <s v="ORD100203"/>
    <s v="CUST24117"/>
    <x v="5"/>
    <x v="203"/>
    <d v="2026-05-12T11:40:12"/>
    <n v="20.000000002328306"/>
    <n v="150.57"/>
    <x v="0"/>
    <x v="2"/>
    <x v="2"/>
    <x v="1"/>
  </r>
  <r>
    <s v="ORD100204"/>
    <s v="CUST63309"/>
    <x v="5"/>
    <x v="204"/>
    <d v="2026-05-30T03:33:42"/>
    <n v="17.000000003026798"/>
    <n v="692.74"/>
    <x v="1"/>
    <x v="1"/>
    <x v="0"/>
    <x v="1"/>
  </r>
  <r>
    <s v="ORD100205"/>
    <s v="CUST29287"/>
    <x v="7"/>
    <x v="205"/>
    <d v="2026-06-01T16:57:20"/>
    <n v="17.000000003026798"/>
    <n v="1369.6"/>
    <x v="1"/>
    <x v="0"/>
    <x v="3"/>
    <x v="1"/>
  </r>
  <r>
    <s v="ORD100206"/>
    <s v="CUST87391"/>
    <x v="5"/>
    <x v="206"/>
    <m/>
    <s v=" "/>
    <n v="899.57"/>
    <x v="1"/>
    <x v="0"/>
    <x v="0"/>
    <x v="2"/>
  </r>
  <r>
    <s v="ORD100207"/>
    <s v="CUST51195"/>
    <x v="6"/>
    <x v="207"/>
    <d v="2026-05-08T11:37:54"/>
    <n v="14.99999999650754"/>
    <n v="1043.1600000000001"/>
    <x v="1"/>
    <x v="2"/>
    <x v="5"/>
    <x v="1"/>
  </r>
  <r>
    <s v="ORD100208"/>
    <s v="CUST56500"/>
    <x v="2"/>
    <x v="208"/>
    <d v="2026-05-30T19:42:52"/>
    <n v="30.99999999627471"/>
    <n v="475.81"/>
    <x v="0"/>
    <x v="0"/>
    <x v="5"/>
    <x v="0"/>
  </r>
  <r>
    <s v="ORD100209"/>
    <s v="CUST83624"/>
    <x v="5"/>
    <x v="209"/>
    <d v="2026-05-20T19:55:05"/>
    <n v="17.999999995809048"/>
    <n v="931.27"/>
    <x v="1"/>
    <x v="0"/>
    <x v="3"/>
    <x v="1"/>
  </r>
  <r>
    <s v="ORD100210"/>
    <s v="CUST48080"/>
    <x v="2"/>
    <x v="210"/>
    <d v="2026-05-09T11:00:15"/>
    <n v="52.999999994644895"/>
    <n v="943.59"/>
    <x v="1"/>
    <x v="2"/>
    <x v="5"/>
    <x v="0"/>
  </r>
  <r>
    <s v="ORD100211"/>
    <s v="CUST90678"/>
    <x v="3"/>
    <x v="211"/>
    <d v="2026-05-20T03:43:23"/>
    <n v="31.999999999534339"/>
    <n v="1599.55"/>
    <x v="2"/>
    <x v="1"/>
    <x v="3"/>
    <x v="0"/>
  </r>
  <r>
    <s v="ORD100212"/>
    <s v="CUST37342"/>
    <x v="0"/>
    <x v="212"/>
    <d v="2026-05-10T16:33:26"/>
    <n v="8.9999999979045242"/>
    <n v="665.89"/>
    <x v="1"/>
    <x v="0"/>
    <x v="4"/>
    <x v="1"/>
  </r>
  <r>
    <s v="ORD100213"/>
    <s v="CUST94847"/>
    <x v="3"/>
    <x v="213"/>
    <d v="2026-05-09T18:52:27"/>
    <n v="28.000000007450581"/>
    <n v="2446.79"/>
    <x v="2"/>
    <x v="0"/>
    <x v="0"/>
    <x v="0"/>
  </r>
  <r>
    <s v="ORD100214"/>
    <s v="CUST95525"/>
    <x v="2"/>
    <x v="214"/>
    <d v="2026-05-12T15:48:34"/>
    <n v="7.9999999946448952"/>
    <n v="1302"/>
    <x v="1"/>
    <x v="0"/>
    <x v="1"/>
    <x v="1"/>
  </r>
  <r>
    <s v="ORD100215"/>
    <s v="CUST81953"/>
    <x v="5"/>
    <x v="215"/>
    <m/>
    <s v=" "/>
    <n v="2047.54"/>
    <x v="2"/>
    <x v="0"/>
    <x v="4"/>
    <x v="2"/>
  </r>
  <r>
    <s v="ORD100216"/>
    <s v="CUST51850"/>
    <x v="7"/>
    <x v="216"/>
    <d v="2026-05-19T04:25:20"/>
    <n v="14.00000000372529"/>
    <n v="1600.9"/>
    <x v="2"/>
    <x v="1"/>
    <x v="5"/>
    <x v="1"/>
  </r>
  <r>
    <s v="ORD100217"/>
    <s v="CUST81993"/>
    <x v="2"/>
    <x v="217"/>
    <d v="2026-05-29T19:16:55"/>
    <n v="13.000000000465661"/>
    <n v="2207.83"/>
    <x v="2"/>
    <x v="0"/>
    <x v="3"/>
    <x v="1"/>
  </r>
  <r>
    <s v="ORD100218"/>
    <s v="CUST73354"/>
    <x v="5"/>
    <x v="218"/>
    <d v="2026-05-23T01:00:08"/>
    <n v="29.000000000232831"/>
    <n v="2235.9699999999998"/>
    <x v="2"/>
    <x v="1"/>
    <x v="4"/>
    <x v="0"/>
  </r>
  <r>
    <s v="ORD100219"/>
    <s v="CUST44957"/>
    <x v="1"/>
    <x v="219"/>
    <d v="2026-05-13T12:55:32"/>
    <n v="20.000000002328306"/>
    <n v="2054.66"/>
    <x v="2"/>
    <x v="0"/>
    <x v="2"/>
    <x v="1"/>
  </r>
  <r>
    <s v="ORD100220"/>
    <s v="CUST32363"/>
    <x v="6"/>
    <x v="220"/>
    <d v="2026-06-01T13:53:31"/>
    <n v="10.000000001164153"/>
    <n v="169.72"/>
    <x v="0"/>
    <x v="0"/>
    <x v="2"/>
    <x v="1"/>
  </r>
  <r>
    <s v="ORD100221"/>
    <s v="CUST32704"/>
    <x v="6"/>
    <x v="221"/>
    <d v="2026-05-27T23:21:28"/>
    <n v="28.000000007450581"/>
    <n v="1430.85"/>
    <x v="1"/>
    <x v="0"/>
    <x v="2"/>
    <x v="0"/>
  </r>
  <r>
    <s v="ORD100222"/>
    <s v="CUST76498"/>
    <x v="4"/>
    <x v="222"/>
    <d v="2026-06-01T05:58:36"/>
    <n v="52.999999994644895"/>
    <n v="771.47"/>
    <x v="1"/>
    <x v="2"/>
    <x v="3"/>
    <x v="0"/>
  </r>
  <r>
    <s v="ORD100223"/>
    <s v="CUST66438"/>
    <x v="4"/>
    <x v="223"/>
    <d v="2026-05-02T07:26:02"/>
    <n v="8.0000000051222742"/>
    <n v="463.1"/>
    <x v="0"/>
    <x v="2"/>
    <x v="5"/>
    <x v="1"/>
  </r>
  <r>
    <s v="ORD100224"/>
    <s v="CUST75519"/>
    <x v="3"/>
    <x v="224"/>
    <d v="2026-05-18T08:18:18"/>
    <n v="43.999999996740371"/>
    <n v="2252.2199999999998"/>
    <x v="2"/>
    <x v="2"/>
    <x v="3"/>
    <x v="0"/>
  </r>
  <r>
    <s v="ORD100225"/>
    <s v="CUST73883"/>
    <x v="6"/>
    <x v="225"/>
    <d v="2026-05-11T14:53:47"/>
    <n v="17.000000003026798"/>
    <n v="1675.64"/>
    <x v="2"/>
    <x v="0"/>
    <x v="5"/>
    <x v="1"/>
  </r>
  <r>
    <s v="ORD100226"/>
    <s v="CUST81213"/>
    <x v="4"/>
    <x v="226"/>
    <d v="2026-06-01T17:50:07"/>
    <n v="18.000000006286427"/>
    <n v="309.70999999999998"/>
    <x v="0"/>
    <x v="0"/>
    <x v="1"/>
    <x v="1"/>
  </r>
  <r>
    <s v="ORD100227"/>
    <s v="CUST27100"/>
    <x v="0"/>
    <x v="227"/>
    <d v="2026-05-08T09:03:34"/>
    <n v="13.999999993247911"/>
    <n v="1016.3"/>
    <x v="1"/>
    <x v="2"/>
    <x v="3"/>
    <x v="1"/>
  </r>
  <r>
    <s v="ORD100228"/>
    <s v="CUST32899"/>
    <x v="2"/>
    <x v="228"/>
    <d v="2026-05-24T18:21:48"/>
    <n v="29.000000000232831"/>
    <n v="2404.4499999999998"/>
    <x v="2"/>
    <x v="0"/>
    <x v="0"/>
    <x v="0"/>
  </r>
  <r>
    <s v="ORD100229"/>
    <s v="CUST27944"/>
    <x v="7"/>
    <x v="229"/>
    <d v="2026-05-03T23:59:34"/>
    <n v="31.000000006752089"/>
    <n v="1568.88"/>
    <x v="2"/>
    <x v="0"/>
    <x v="1"/>
    <x v="0"/>
  </r>
  <r>
    <s v="ORD100230"/>
    <s v="CUST72772"/>
    <x v="4"/>
    <x v="230"/>
    <m/>
    <s v=" "/>
    <n v="1600.26"/>
    <x v="2"/>
    <x v="0"/>
    <x v="3"/>
    <x v="2"/>
  </r>
  <r>
    <s v="ORD100231"/>
    <s v="CUST64473"/>
    <x v="2"/>
    <x v="231"/>
    <d v="2026-05-16T10:13:02"/>
    <n v="18.000000006286427"/>
    <n v="644.83000000000004"/>
    <x v="1"/>
    <x v="2"/>
    <x v="1"/>
    <x v="1"/>
  </r>
  <r>
    <s v="ORD100232"/>
    <s v="CUST34322"/>
    <x v="2"/>
    <x v="232"/>
    <d v="2026-05-29T08:30:55"/>
    <n v="8.0000000051222742"/>
    <n v="675.87"/>
    <x v="1"/>
    <x v="2"/>
    <x v="1"/>
    <x v="1"/>
  </r>
  <r>
    <s v="ORD100233"/>
    <s v="CUST52591"/>
    <x v="4"/>
    <x v="233"/>
    <d v="2026-05-06T15:55:07"/>
    <n v="59.99999999650754"/>
    <n v="465.6"/>
    <x v="0"/>
    <x v="0"/>
    <x v="3"/>
    <x v="0"/>
  </r>
  <r>
    <s v="ORD100234"/>
    <s v="CUST45112"/>
    <x v="1"/>
    <x v="234"/>
    <d v="2026-05-16T06:59:47"/>
    <n v="7.9999999946448952"/>
    <n v="2428.29"/>
    <x v="2"/>
    <x v="2"/>
    <x v="4"/>
    <x v="1"/>
  </r>
  <r>
    <s v="ORD100235"/>
    <s v="CUST44931"/>
    <x v="1"/>
    <x v="235"/>
    <d v="2026-05-23T23:22:40"/>
    <n v="43.000000003958121"/>
    <n v="2282.36"/>
    <x v="2"/>
    <x v="0"/>
    <x v="2"/>
    <x v="0"/>
  </r>
  <r>
    <s v="ORD100236"/>
    <s v="CUST90292"/>
    <x v="6"/>
    <x v="236"/>
    <d v="2026-05-28T06:28:08"/>
    <n v="48.999999992083758"/>
    <n v="889.28"/>
    <x v="1"/>
    <x v="2"/>
    <x v="1"/>
    <x v="0"/>
  </r>
  <r>
    <s v="ORD100237"/>
    <s v="CUST78800"/>
    <x v="4"/>
    <x v="237"/>
    <d v="2026-05-14T07:41:03"/>
    <n v="49.999999995343387"/>
    <n v="1400.36"/>
    <x v="1"/>
    <x v="2"/>
    <x v="2"/>
    <x v="0"/>
  </r>
  <r>
    <s v="ORD100238"/>
    <s v="CUST38373"/>
    <x v="4"/>
    <x v="238"/>
    <d v="2026-05-23T17:26:38"/>
    <n v="8.9999999979045242"/>
    <n v="595.22"/>
    <x v="1"/>
    <x v="0"/>
    <x v="3"/>
    <x v="1"/>
  </r>
  <r>
    <s v="ORD100239"/>
    <s v="CUST75296"/>
    <x v="6"/>
    <x v="239"/>
    <d v="2026-05-11T11:02:18"/>
    <n v="16.999999992549419"/>
    <n v="431.58"/>
    <x v="0"/>
    <x v="2"/>
    <x v="1"/>
    <x v="1"/>
  </r>
  <r>
    <s v="ORD100240"/>
    <s v="CUST44050"/>
    <x v="6"/>
    <x v="240"/>
    <d v="2026-05-19T18:37:54"/>
    <n v="19.999999991850927"/>
    <n v="1398.25"/>
    <x v="1"/>
    <x v="0"/>
    <x v="2"/>
    <x v="1"/>
  </r>
  <r>
    <s v="ORD100241"/>
    <s v="CUST56509"/>
    <x v="3"/>
    <x v="241"/>
    <d v="2026-05-07T05:02:50"/>
    <n v="13.999999993247911"/>
    <n v="2019.25"/>
    <x v="2"/>
    <x v="2"/>
    <x v="2"/>
    <x v="1"/>
  </r>
  <r>
    <s v="ORD100242"/>
    <s v="CUST80637"/>
    <x v="5"/>
    <x v="242"/>
    <d v="2026-05-27T01:56:55"/>
    <n v="38.999999990919605"/>
    <n v="2169.21"/>
    <x v="2"/>
    <x v="1"/>
    <x v="5"/>
    <x v="0"/>
  </r>
  <r>
    <s v="ORD100243"/>
    <s v="CUST52742"/>
    <x v="6"/>
    <x v="243"/>
    <d v="2026-05-09T23:12:08"/>
    <n v="17.000000003026798"/>
    <n v="840.6"/>
    <x v="1"/>
    <x v="0"/>
    <x v="4"/>
    <x v="1"/>
  </r>
  <r>
    <s v="ORD100244"/>
    <s v="CUST29880"/>
    <x v="5"/>
    <x v="244"/>
    <d v="2026-05-16T05:05:20"/>
    <n v="20.000000002328306"/>
    <n v="1791.33"/>
    <x v="2"/>
    <x v="2"/>
    <x v="0"/>
    <x v="1"/>
  </r>
  <r>
    <s v="ORD100245"/>
    <s v="CUST78082"/>
    <x v="7"/>
    <x v="245"/>
    <d v="2026-05-16T21:43:31"/>
    <n v="17.999999995809048"/>
    <n v="1356.13"/>
    <x v="1"/>
    <x v="0"/>
    <x v="2"/>
    <x v="1"/>
  </r>
  <r>
    <s v="ORD100246"/>
    <s v="CUST92132"/>
    <x v="3"/>
    <x v="246"/>
    <d v="2026-05-10T18:57:17"/>
    <n v="17.000000003026798"/>
    <n v="423.61"/>
    <x v="0"/>
    <x v="0"/>
    <x v="0"/>
    <x v="1"/>
  </r>
  <r>
    <s v="ORD100247"/>
    <s v="CUST32833"/>
    <x v="1"/>
    <x v="247"/>
    <d v="2026-05-27T12:36:04"/>
    <n v="7.9999999946448952"/>
    <n v="2488.65"/>
    <x v="2"/>
    <x v="0"/>
    <x v="3"/>
    <x v="1"/>
  </r>
  <r>
    <s v="ORD100248"/>
    <s v="CUST26630"/>
    <x v="7"/>
    <x v="248"/>
    <d v="2026-05-06T12:47:47"/>
    <n v="14.99999999650754"/>
    <n v="2440.86"/>
    <x v="2"/>
    <x v="0"/>
    <x v="3"/>
    <x v="1"/>
  </r>
  <r>
    <s v="ORD100249"/>
    <s v="CUST90855"/>
    <x v="4"/>
    <x v="249"/>
    <d v="2026-05-18T23:13:56"/>
    <n v="14.00000000372529"/>
    <n v="447.37"/>
    <x v="0"/>
    <x v="0"/>
    <x v="5"/>
    <x v="1"/>
  </r>
  <r>
    <s v="ORD100250"/>
    <s v="CUST21934"/>
    <x v="1"/>
    <x v="250"/>
    <d v="2026-05-24T14:46:20"/>
    <n v="14.99999999650754"/>
    <n v="2338.27"/>
    <x v="2"/>
    <x v="0"/>
    <x v="2"/>
    <x v="1"/>
  </r>
  <r>
    <s v="ORD100251"/>
    <s v="CUST32224"/>
    <x v="6"/>
    <x v="251"/>
    <d v="2026-05-01T23:25:46"/>
    <n v="20.000000002328306"/>
    <n v="2300.0700000000002"/>
    <x v="2"/>
    <x v="0"/>
    <x v="1"/>
    <x v="1"/>
  </r>
  <r>
    <s v="ORD100252"/>
    <s v="CUST50982"/>
    <x v="6"/>
    <x v="252"/>
    <d v="2026-05-30T20:56:44"/>
    <n v="14.00000000372529"/>
    <n v="860.99"/>
    <x v="1"/>
    <x v="0"/>
    <x v="3"/>
    <x v="1"/>
  </r>
  <r>
    <s v="ORD100253"/>
    <s v="CUST41798"/>
    <x v="0"/>
    <x v="253"/>
    <d v="2026-05-23T03:07:34"/>
    <n v="17.000000003026798"/>
    <n v="1436.62"/>
    <x v="1"/>
    <x v="1"/>
    <x v="1"/>
    <x v="1"/>
  </r>
  <r>
    <s v="ORD100254"/>
    <s v="CUST73269"/>
    <x v="1"/>
    <x v="254"/>
    <d v="2026-05-26T06:44:52"/>
    <n v="17.000000003026798"/>
    <n v="2375.64"/>
    <x v="2"/>
    <x v="2"/>
    <x v="3"/>
    <x v="1"/>
  </r>
  <r>
    <s v="ORD100255"/>
    <s v="CUST83653"/>
    <x v="4"/>
    <x v="255"/>
    <d v="2026-05-14T15:26:20"/>
    <n v="8.9999999979045242"/>
    <n v="383.13"/>
    <x v="0"/>
    <x v="0"/>
    <x v="1"/>
    <x v="1"/>
  </r>
  <r>
    <s v="ORD100256"/>
    <s v="CUST83092"/>
    <x v="0"/>
    <x v="256"/>
    <d v="2026-05-19T10:48:36"/>
    <n v="13.000000000465661"/>
    <n v="861.23"/>
    <x v="1"/>
    <x v="2"/>
    <x v="4"/>
    <x v="1"/>
  </r>
  <r>
    <s v="ORD100257"/>
    <s v="CUST48016"/>
    <x v="1"/>
    <x v="257"/>
    <m/>
    <s v=" "/>
    <n v="2210.13"/>
    <x v="2"/>
    <x v="0"/>
    <x v="2"/>
    <x v="2"/>
  </r>
  <r>
    <s v="ORD100258"/>
    <s v="CUST72565"/>
    <x v="3"/>
    <x v="258"/>
    <d v="2026-05-22T22:14:03"/>
    <n v="26.000000000931323"/>
    <n v="1843.99"/>
    <x v="2"/>
    <x v="0"/>
    <x v="4"/>
    <x v="0"/>
  </r>
  <r>
    <s v="ORD100259"/>
    <s v="CUST27685"/>
    <x v="4"/>
    <x v="259"/>
    <d v="2026-05-03T03:55:50"/>
    <n v="14.99999999650754"/>
    <n v="1936.04"/>
    <x v="2"/>
    <x v="1"/>
    <x v="4"/>
    <x v="1"/>
  </r>
  <r>
    <s v="ORD100260"/>
    <s v="CUST41579"/>
    <x v="1"/>
    <x v="260"/>
    <d v="2026-05-30T01:05:59"/>
    <n v="58.000000000465661"/>
    <n v="2211.3200000000002"/>
    <x v="2"/>
    <x v="1"/>
    <x v="2"/>
    <x v="0"/>
  </r>
  <r>
    <s v="ORD100261"/>
    <s v="CUST69672"/>
    <x v="1"/>
    <x v="261"/>
    <d v="2026-05-11T14:42:00"/>
    <n v="13.000000000465661"/>
    <n v="1092.7"/>
    <x v="1"/>
    <x v="0"/>
    <x v="0"/>
    <x v="1"/>
  </r>
  <r>
    <s v="ORD100262"/>
    <s v="CUST20282"/>
    <x v="6"/>
    <x v="262"/>
    <d v="2026-05-28T07:01:58"/>
    <n v="16.999999992549419"/>
    <n v="1086"/>
    <x v="1"/>
    <x v="2"/>
    <x v="1"/>
    <x v="1"/>
  </r>
  <r>
    <s v="ORD100263"/>
    <s v="CUST71173"/>
    <x v="3"/>
    <x v="263"/>
    <d v="2026-05-09T20:30:10"/>
    <n v="11.000000004423782"/>
    <n v="1162.21"/>
    <x v="1"/>
    <x v="0"/>
    <x v="4"/>
    <x v="1"/>
  </r>
  <r>
    <s v="ORD100264"/>
    <s v="CUST54760"/>
    <x v="1"/>
    <x v="264"/>
    <d v="2026-05-18T02:50:23"/>
    <n v="9.0000000083819032"/>
    <n v="2340.04"/>
    <x v="2"/>
    <x v="1"/>
    <x v="2"/>
    <x v="1"/>
  </r>
  <r>
    <s v="ORD100265"/>
    <s v="CUST79638"/>
    <x v="3"/>
    <x v="265"/>
    <d v="2026-05-17T02:32:42"/>
    <n v="8.9999999979045242"/>
    <n v="2244.91"/>
    <x v="2"/>
    <x v="1"/>
    <x v="1"/>
    <x v="1"/>
  </r>
  <r>
    <s v="ORD100266"/>
    <s v="CUST57388"/>
    <x v="7"/>
    <x v="266"/>
    <d v="2026-05-11T01:33:40"/>
    <n v="7.9999999946448952"/>
    <n v="2338.8000000000002"/>
    <x v="2"/>
    <x v="1"/>
    <x v="2"/>
    <x v="1"/>
  </r>
  <r>
    <s v="ORD100267"/>
    <s v="CUST75444"/>
    <x v="3"/>
    <x v="267"/>
    <d v="2026-05-21T00:01:48"/>
    <n v="17.000000003026798"/>
    <n v="756.11"/>
    <x v="1"/>
    <x v="0"/>
    <x v="2"/>
    <x v="1"/>
  </r>
  <r>
    <s v="ORD100268"/>
    <s v="CUST92845"/>
    <x v="5"/>
    <x v="268"/>
    <d v="2026-05-15T14:10:05"/>
    <n v="29.000000000232831"/>
    <n v="1968.86"/>
    <x v="2"/>
    <x v="0"/>
    <x v="0"/>
    <x v="0"/>
  </r>
  <r>
    <s v="ORD100269"/>
    <s v="CUST83788"/>
    <x v="4"/>
    <x v="269"/>
    <d v="2026-05-07T00:30:30"/>
    <n v="17.000000003026798"/>
    <n v="355.25"/>
    <x v="0"/>
    <x v="0"/>
    <x v="4"/>
    <x v="1"/>
  </r>
  <r>
    <s v="ORD100270"/>
    <s v="CUST40289"/>
    <x v="6"/>
    <x v="270"/>
    <d v="2026-05-05T04:57:14"/>
    <n v="19.999999991850927"/>
    <n v="542.39"/>
    <x v="1"/>
    <x v="1"/>
    <x v="2"/>
    <x v="1"/>
  </r>
  <r>
    <s v="ORD100271"/>
    <s v="CUST44890"/>
    <x v="6"/>
    <x v="271"/>
    <d v="2026-05-29T00:11:44"/>
    <n v="10.999999993946403"/>
    <n v="1928.87"/>
    <x v="2"/>
    <x v="0"/>
    <x v="2"/>
    <x v="1"/>
  </r>
  <r>
    <s v="ORD100272"/>
    <s v="CUST58890"/>
    <x v="6"/>
    <x v="272"/>
    <d v="2026-05-22T04:12:27"/>
    <n v="17.000000003026798"/>
    <n v="1567.76"/>
    <x v="2"/>
    <x v="1"/>
    <x v="3"/>
    <x v="1"/>
  </r>
  <r>
    <s v="ORD100273"/>
    <s v="CUST48534"/>
    <x v="6"/>
    <x v="273"/>
    <d v="2026-05-09T15:37:14"/>
    <n v="32.999999992316589"/>
    <n v="739.47"/>
    <x v="1"/>
    <x v="0"/>
    <x v="4"/>
    <x v="0"/>
  </r>
  <r>
    <s v="ORD100274"/>
    <s v="CUST27665"/>
    <x v="1"/>
    <x v="274"/>
    <m/>
    <s v=" "/>
    <n v="1459.9"/>
    <x v="1"/>
    <x v="0"/>
    <x v="1"/>
    <x v="2"/>
  </r>
  <r>
    <s v="ORD100275"/>
    <s v="CUST95914"/>
    <x v="6"/>
    <x v="275"/>
    <d v="2026-05-07T04:17:23"/>
    <n v="56.999999997206032"/>
    <n v="653.19000000000005"/>
    <x v="1"/>
    <x v="1"/>
    <x v="4"/>
    <x v="0"/>
  </r>
  <r>
    <s v="ORD100276"/>
    <s v="CUST91066"/>
    <x v="3"/>
    <x v="276"/>
    <d v="2026-05-20T04:36:49"/>
    <n v="11.999999997206032"/>
    <n v="656.24"/>
    <x v="1"/>
    <x v="1"/>
    <x v="0"/>
    <x v="1"/>
  </r>
  <r>
    <s v="ORD100277"/>
    <s v="CUST27989"/>
    <x v="5"/>
    <x v="277"/>
    <m/>
    <s v=" "/>
    <n v="1748.71"/>
    <x v="2"/>
    <x v="0"/>
    <x v="0"/>
    <x v="2"/>
  </r>
  <r>
    <s v="ORD100278"/>
    <s v="CUST61104"/>
    <x v="2"/>
    <x v="278"/>
    <m/>
    <s v=" "/>
    <n v="961.23"/>
    <x v="1"/>
    <x v="0"/>
    <x v="2"/>
    <x v="2"/>
  </r>
  <r>
    <s v="ORD100279"/>
    <s v="CUST27492"/>
    <x v="3"/>
    <x v="279"/>
    <d v="2026-05-11T14:35:46"/>
    <n v="13.000000000465661"/>
    <n v="1750.54"/>
    <x v="2"/>
    <x v="0"/>
    <x v="3"/>
    <x v="1"/>
  </r>
  <r>
    <s v="ORD100280"/>
    <s v="CUST26572"/>
    <x v="6"/>
    <x v="280"/>
    <d v="2026-05-14T21:01:09"/>
    <n v="13.999999993247911"/>
    <n v="1242.8499999999999"/>
    <x v="1"/>
    <x v="0"/>
    <x v="3"/>
    <x v="1"/>
  </r>
  <r>
    <s v="ORD100281"/>
    <s v="CUST96569"/>
    <x v="1"/>
    <x v="281"/>
    <d v="2026-05-27T20:38:28"/>
    <n v="54.999999990686774"/>
    <n v="1304.58"/>
    <x v="1"/>
    <x v="0"/>
    <x v="5"/>
    <x v="0"/>
  </r>
  <r>
    <s v="ORD100282"/>
    <s v="CUST82493"/>
    <x v="3"/>
    <x v="282"/>
    <m/>
    <s v=" "/>
    <n v="1550.31"/>
    <x v="2"/>
    <x v="0"/>
    <x v="5"/>
    <x v="2"/>
  </r>
  <r>
    <s v="ORD100283"/>
    <s v="CUST85909"/>
    <x v="1"/>
    <x v="283"/>
    <d v="2026-05-09T03:56:46"/>
    <n v="18.999999999068677"/>
    <n v="1807.85"/>
    <x v="2"/>
    <x v="1"/>
    <x v="3"/>
    <x v="1"/>
  </r>
  <r>
    <s v="ORD100284"/>
    <s v="CUST89615"/>
    <x v="2"/>
    <x v="284"/>
    <d v="2026-05-25T11:44:20"/>
    <n v="17.000000003026798"/>
    <n v="996.5"/>
    <x v="1"/>
    <x v="2"/>
    <x v="0"/>
    <x v="1"/>
  </r>
  <r>
    <s v="ORD100285"/>
    <s v="CUST40635"/>
    <x v="7"/>
    <x v="285"/>
    <d v="2026-05-09T07:32:41"/>
    <n v="14.99999999650754"/>
    <n v="2144.11"/>
    <x v="2"/>
    <x v="2"/>
    <x v="4"/>
    <x v="1"/>
  </r>
  <r>
    <s v="ORD100286"/>
    <s v="CUST27455"/>
    <x v="7"/>
    <x v="286"/>
    <d v="2026-05-06T07:45:38"/>
    <n v="10.000000001164153"/>
    <n v="1278.47"/>
    <x v="1"/>
    <x v="2"/>
    <x v="4"/>
    <x v="1"/>
  </r>
  <r>
    <s v="ORD100287"/>
    <s v="CUST86562"/>
    <x v="3"/>
    <x v="287"/>
    <d v="2026-05-19T22:12:54"/>
    <n v="11.000000004423782"/>
    <n v="429.03"/>
    <x v="0"/>
    <x v="0"/>
    <x v="2"/>
    <x v="1"/>
  </r>
  <r>
    <s v="ORD100288"/>
    <s v="CUST30500"/>
    <x v="6"/>
    <x v="288"/>
    <d v="2026-05-20T06:43:38"/>
    <n v="9.9999999906867743"/>
    <n v="562.82000000000005"/>
    <x v="1"/>
    <x v="2"/>
    <x v="0"/>
    <x v="1"/>
  </r>
  <r>
    <s v="ORD100289"/>
    <s v="CUST44356"/>
    <x v="0"/>
    <x v="289"/>
    <d v="2026-05-13T23:45:18"/>
    <n v="20.000000002328306"/>
    <n v="176.35"/>
    <x v="0"/>
    <x v="0"/>
    <x v="5"/>
    <x v="1"/>
  </r>
  <r>
    <s v="ORD100290"/>
    <s v="CUST28981"/>
    <x v="5"/>
    <x v="290"/>
    <d v="2026-05-04T07:39:24"/>
    <n v="7.9999999946448952"/>
    <n v="1933.89"/>
    <x v="2"/>
    <x v="2"/>
    <x v="3"/>
    <x v="1"/>
  </r>
  <r>
    <s v="ORD100291"/>
    <s v="CUST97992"/>
    <x v="4"/>
    <x v="291"/>
    <m/>
    <s v=" "/>
    <n v="135.03"/>
    <x v="0"/>
    <x v="0"/>
    <x v="0"/>
    <x v="2"/>
  </r>
  <r>
    <s v="ORD100292"/>
    <s v="CUST28907"/>
    <x v="0"/>
    <x v="292"/>
    <d v="2026-05-05T17:04:00"/>
    <n v="7.9999999946448952"/>
    <n v="746.66"/>
    <x v="1"/>
    <x v="0"/>
    <x v="2"/>
    <x v="1"/>
  </r>
  <r>
    <s v="ORD100293"/>
    <s v="CUST50828"/>
    <x v="6"/>
    <x v="293"/>
    <d v="2026-05-24T10:18:24"/>
    <n v="10.000000001164153"/>
    <n v="1090.31"/>
    <x v="1"/>
    <x v="2"/>
    <x v="1"/>
    <x v="1"/>
  </r>
  <r>
    <s v="ORD100294"/>
    <s v="CUST72923"/>
    <x v="3"/>
    <x v="294"/>
    <d v="2026-05-27T11:46:43"/>
    <n v="11.999999997206032"/>
    <n v="1880.68"/>
    <x v="2"/>
    <x v="2"/>
    <x v="0"/>
    <x v="1"/>
  </r>
  <r>
    <s v="ORD100295"/>
    <s v="CUST35713"/>
    <x v="3"/>
    <x v="295"/>
    <d v="2026-05-12T16:41:04"/>
    <n v="52.000000001862645"/>
    <n v="2470.7800000000002"/>
    <x v="2"/>
    <x v="0"/>
    <x v="1"/>
    <x v="0"/>
  </r>
  <r>
    <s v="ORD100296"/>
    <s v="CUST94668"/>
    <x v="6"/>
    <x v="296"/>
    <d v="2026-05-02T18:20:00"/>
    <n v="15.999999999767169"/>
    <n v="1917.66"/>
    <x v="2"/>
    <x v="0"/>
    <x v="4"/>
    <x v="1"/>
  </r>
  <r>
    <s v="ORD100297"/>
    <s v="CUST52271"/>
    <x v="7"/>
    <x v="297"/>
    <d v="2026-05-17T06:20:59"/>
    <n v="18.000000006286427"/>
    <n v="257.73"/>
    <x v="0"/>
    <x v="2"/>
    <x v="2"/>
    <x v="1"/>
  </r>
  <r>
    <s v="ORD100298"/>
    <s v="CUST95880"/>
    <x v="0"/>
    <x v="298"/>
    <d v="2026-05-04T12:52:18"/>
    <n v="20.000000002328306"/>
    <n v="2324.0500000000002"/>
    <x v="2"/>
    <x v="0"/>
    <x v="2"/>
    <x v="1"/>
  </r>
  <r>
    <s v="ORD100299"/>
    <s v="CUST97924"/>
    <x v="1"/>
    <x v="299"/>
    <d v="2026-05-27T13:57:25"/>
    <n v="13.000000000465661"/>
    <n v="2464.5100000000002"/>
    <x v="2"/>
    <x v="0"/>
    <x v="3"/>
    <x v="1"/>
  </r>
  <r>
    <s v="ORD100300"/>
    <s v="CUST25209"/>
    <x v="2"/>
    <x v="300"/>
    <d v="2026-05-06T20:46:34"/>
    <n v="12.000000007683411"/>
    <n v="2180.11"/>
    <x v="2"/>
    <x v="0"/>
    <x v="0"/>
    <x v="1"/>
  </r>
  <r>
    <s v="ORD100301"/>
    <s v="CUST30745"/>
    <x v="7"/>
    <x v="301"/>
    <d v="2026-05-10T09:04:19"/>
    <n v="59.00000000372529"/>
    <n v="1274.8599999999999"/>
    <x v="1"/>
    <x v="2"/>
    <x v="2"/>
    <x v="0"/>
  </r>
  <r>
    <s v="ORD100302"/>
    <s v="CUST74948"/>
    <x v="2"/>
    <x v="302"/>
    <d v="2026-05-06T17:18:13"/>
    <n v="20.000000002328306"/>
    <n v="878.75"/>
    <x v="1"/>
    <x v="0"/>
    <x v="3"/>
    <x v="1"/>
  </r>
  <r>
    <s v="ORD100303"/>
    <s v="CUST96503"/>
    <x v="5"/>
    <x v="303"/>
    <d v="2026-05-10T17:30:25"/>
    <n v="10.000000001164153"/>
    <n v="1197.1099999999999"/>
    <x v="1"/>
    <x v="0"/>
    <x v="5"/>
    <x v="1"/>
  </r>
  <r>
    <s v="ORD100304"/>
    <s v="CUST94085"/>
    <x v="7"/>
    <x v="304"/>
    <d v="2026-05-05T09:54:27"/>
    <n v="10.000000001164153"/>
    <n v="691.28"/>
    <x v="1"/>
    <x v="2"/>
    <x v="0"/>
    <x v="1"/>
  </r>
  <r>
    <s v="ORD100305"/>
    <s v="CUST88522"/>
    <x v="7"/>
    <x v="305"/>
    <d v="2026-05-16T01:30:05"/>
    <n v="14.99999999650754"/>
    <n v="1070.68"/>
    <x v="1"/>
    <x v="1"/>
    <x v="2"/>
    <x v="1"/>
  </r>
  <r>
    <s v="ORD100306"/>
    <s v="CUST61467"/>
    <x v="3"/>
    <x v="306"/>
    <d v="2026-05-28T04:13:39"/>
    <n v="44.00000000721775"/>
    <n v="199.38"/>
    <x v="0"/>
    <x v="1"/>
    <x v="0"/>
    <x v="0"/>
  </r>
  <r>
    <s v="ORD100307"/>
    <s v="CUST54179"/>
    <x v="3"/>
    <x v="307"/>
    <d v="2026-05-04T09:59:47"/>
    <n v="17.000000003026798"/>
    <n v="1863.8"/>
    <x v="2"/>
    <x v="2"/>
    <x v="0"/>
    <x v="1"/>
  </r>
  <r>
    <s v="ORD100308"/>
    <s v="CUST46772"/>
    <x v="2"/>
    <x v="308"/>
    <m/>
    <s v=" "/>
    <n v="1011.9"/>
    <x v="1"/>
    <x v="0"/>
    <x v="4"/>
    <x v="2"/>
  </r>
  <r>
    <s v="ORD100309"/>
    <s v="CUST61180"/>
    <x v="5"/>
    <x v="309"/>
    <d v="2026-05-09T22:13:10"/>
    <n v="13.000000000465661"/>
    <n v="849.95"/>
    <x v="1"/>
    <x v="0"/>
    <x v="0"/>
    <x v="1"/>
  </r>
  <r>
    <s v="ORD100310"/>
    <s v="CUST51285"/>
    <x v="5"/>
    <x v="310"/>
    <d v="2026-06-01T11:45:33"/>
    <n v="11.999999997206032"/>
    <n v="1566.61"/>
    <x v="2"/>
    <x v="2"/>
    <x v="4"/>
    <x v="1"/>
  </r>
  <r>
    <s v="ORD100311"/>
    <s v="CUST54814"/>
    <x v="1"/>
    <x v="311"/>
    <d v="2026-05-17T05:36:08"/>
    <n v="12.999999989988282"/>
    <n v="1880.92"/>
    <x v="2"/>
    <x v="2"/>
    <x v="2"/>
    <x v="1"/>
  </r>
  <r>
    <s v="ORD100312"/>
    <s v="CUST71876"/>
    <x v="6"/>
    <x v="312"/>
    <d v="2026-05-19T00:04:07"/>
    <n v="7.9999999946448952"/>
    <n v="1524.13"/>
    <x v="2"/>
    <x v="0"/>
    <x v="0"/>
    <x v="1"/>
  </r>
  <r>
    <s v="ORD100313"/>
    <s v="CUST37154"/>
    <x v="5"/>
    <x v="313"/>
    <d v="2026-05-02T11:07:27"/>
    <n v="15.999999999767169"/>
    <n v="1359.55"/>
    <x v="1"/>
    <x v="2"/>
    <x v="5"/>
    <x v="1"/>
  </r>
  <r>
    <s v="ORD100314"/>
    <s v="CUST59321"/>
    <x v="2"/>
    <x v="314"/>
    <d v="2026-05-18T16:21:16"/>
    <n v="17.000000003026798"/>
    <n v="2200.88"/>
    <x v="2"/>
    <x v="0"/>
    <x v="1"/>
    <x v="1"/>
  </r>
  <r>
    <s v="ORD100315"/>
    <s v="CUST79929"/>
    <x v="6"/>
    <x v="315"/>
    <d v="2026-05-05T15:47:32"/>
    <n v="17.999999995809048"/>
    <n v="1987.61"/>
    <x v="2"/>
    <x v="0"/>
    <x v="4"/>
    <x v="1"/>
  </r>
  <r>
    <s v="ORD100316"/>
    <s v="CUST61441"/>
    <x v="0"/>
    <x v="316"/>
    <d v="2026-05-24T01:49:54"/>
    <n v="17.999999995809048"/>
    <n v="1348.56"/>
    <x v="1"/>
    <x v="1"/>
    <x v="5"/>
    <x v="1"/>
  </r>
  <r>
    <s v="ORD100317"/>
    <s v="CUST29508"/>
    <x v="1"/>
    <x v="317"/>
    <d v="2026-05-11T11:44:16"/>
    <n v="33.999999995576218"/>
    <n v="1182.8599999999999"/>
    <x v="1"/>
    <x v="2"/>
    <x v="2"/>
    <x v="0"/>
  </r>
  <r>
    <s v="ORD100318"/>
    <s v="CUST21220"/>
    <x v="1"/>
    <x v="318"/>
    <d v="2026-05-07T18:51:46"/>
    <n v="7.9999999946448952"/>
    <n v="2083.8200000000002"/>
    <x v="2"/>
    <x v="0"/>
    <x v="5"/>
    <x v="1"/>
  </r>
  <r>
    <s v="ORD100319"/>
    <s v="CUST80068"/>
    <x v="4"/>
    <x v="319"/>
    <d v="2026-05-08T07:58:32"/>
    <n v="10.999999993946403"/>
    <n v="200.8"/>
    <x v="0"/>
    <x v="2"/>
    <x v="0"/>
    <x v="1"/>
  </r>
  <r>
    <s v="ORD100320"/>
    <s v="CUST93792"/>
    <x v="3"/>
    <x v="320"/>
    <d v="2026-05-01T02:10:55"/>
    <n v="15.999999999767169"/>
    <n v="2489.0100000000002"/>
    <x v="2"/>
    <x v="1"/>
    <x v="1"/>
    <x v="1"/>
  </r>
  <r>
    <s v="ORD100321"/>
    <s v="CUST33104"/>
    <x v="5"/>
    <x v="321"/>
    <d v="2026-05-01T07:18:30"/>
    <n v="15.999999999767169"/>
    <n v="1343.89"/>
    <x v="1"/>
    <x v="2"/>
    <x v="1"/>
    <x v="1"/>
  </r>
  <r>
    <s v="ORD100322"/>
    <s v="CUST29602"/>
    <x v="3"/>
    <x v="322"/>
    <d v="2026-05-24T13:06:09"/>
    <n v="7.9999999946448952"/>
    <n v="1048.47"/>
    <x v="1"/>
    <x v="0"/>
    <x v="1"/>
    <x v="1"/>
  </r>
  <r>
    <s v="ORD100323"/>
    <s v="CUST90468"/>
    <x v="7"/>
    <x v="323"/>
    <d v="2026-05-12T01:49:51"/>
    <n v="14.00000000372529"/>
    <n v="1863.41"/>
    <x v="2"/>
    <x v="1"/>
    <x v="3"/>
    <x v="1"/>
  </r>
  <r>
    <s v="ORD100324"/>
    <s v="CUST47938"/>
    <x v="3"/>
    <x v="324"/>
    <d v="2026-05-27T07:33:15"/>
    <n v="12.999999989988282"/>
    <n v="1437.48"/>
    <x v="1"/>
    <x v="2"/>
    <x v="0"/>
    <x v="1"/>
  </r>
  <r>
    <s v="ORD100325"/>
    <s v="CUST86307"/>
    <x v="6"/>
    <x v="325"/>
    <d v="2026-05-27T23:31:17"/>
    <n v="11.000000004423782"/>
    <n v="1337.7"/>
    <x v="1"/>
    <x v="0"/>
    <x v="4"/>
    <x v="1"/>
  </r>
  <r>
    <s v="ORD100326"/>
    <s v="CUST54760"/>
    <x v="2"/>
    <x v="326"/>
    <d v="2026-05-05T18:34:07"/>
    <n v="11.000000004423782"/>
    <n v="1612.56"/>
    <x v="2"/>
    <x v="0"/>
    <x v="1"/>
    <x v="1"/>
  </r>
  <r>
    <s v="ORD100327"/>
    <s v="CUST37361"/>
    <x v="5"/>
    <x v="327"/>
    <d v="2026-05-04T05:32:51"/>
    <n v="18.000000006286427"/>
    <n v="217.31"/>
    <x v="0"/>
    <x v="2"/>
    <x v="5"/>
    <x v="1"/>
  </r>
  <r>
    <s v="ORD100328"/>
    <s v="CUST65745"/>
    <x v="5"/>
    <x v="328"/>
    <d v="2026-05-03T12:15:56"/>
    <n v="11.000000004423782"/>
    <n v="797.83"/>
    <x v="1"/>
    <x v="0"/>
    <x v="0"/>
    <x v="1"/>
  </r>
  <r>
    <s v="ORD100329"/>
    <s v="CUST29016"/>
    <x v="2"/>
    <x v="329"/>
    <d v="2026-05-30T10:09:54"/>
    <n v="19.999999991850927"/>
    <n v="1054.3"/>
    <x v="1"/>
    <x v="2"/>
    <x v="4"/>
    <x v="1"/>
  </r>
  <r>
    <s v="ORD100330"/>
    <s v="CUST52018"/>
    <x v="6"/>
    <x v="330"/>
    <d v="2026-05-20T10:14:35"/>
    <n v="8.9999999979045242"/>
    <n v="829.93"/>
    <x v="1"/>
    <x v="2"/>
    <x v="1"/>
    <x v="1"/>
  </r>
  <r>
    <s v="ORD100331"/>
    <s v="CUST68434"/>
    <x v="7"/>
    <x v="331"/>
    <d v="2026-05-30T00:36:12"/>
    <n v="13.000000000465661"/>
    <n v="2085.29"/>
    <x v="2"/>
    <x v="0"/>
    <x v="0"/>
    <x v="1"/>
  </r>
  <r>
    <s v="ORD100332"/>
    <s v="CUST57353"/>
    <x v="4"/>
    <x v="332"/>
    <d v="2026-05-19T19:01:19"/>
    <n v="11.000000004423782"/>
    <n v="1206.23"/>
    <x v="1"/>
    <x v="0"/>
    <x v="5"/>
    <x v="1"/>
  </r>
  <r>
    <s v="ORD100333"/>
    <s v="CUST40676"/>
    <x v="1"/>
    <x v="333"/>
    <d v="2026-05-16T14:41:37"/>
    <n v="17.999999995809048"/>
    <n v="1112.9100000000001"/>
    <x v="1"/>
    <x v="0"/>
    <x v="4"/>
    <x v="1"/>
  </r>
  <r>
    <s v="ORD100334"/>
    <s v="CUST77433"/>
    <x v="4"/>
    <x v="334"/>
    <d v="2026-06-01T07:41:57"/>
    <n v="55.000000001164153"/>
    <n v="1570.52"/>
    <x v="2"/>
    <x v="2"/>
    <x v="4"/>
    <x v="0"/>
  </r>
  <r>
    <s v="ORD100335"/>
    <s v="CUST91200"/>
    <x v="4"/>
    <x v="335"/>
    <m/>
    <s v=" "/>
    <n v="229.91"/>
    <x v="0"/>
    <x v="0"/>
    <x v="2"/>
    <x v="2"/>
  </r>
  <r>
    <s v="ORD100336"/>
    <s v="CUST59651"/>
    <x v="1"/>
    <x v="336"/>
    <m/>
    <s v=" "/>
    <n v="1339.73"/>
    <x v="1"/>
    <x v="0"/>
    <x v="5"/>
    <x v="2"/>
  </r>
  <r>
    <s v="ORD100337"/>
    <s v="CUST89329"/>
    <x v="7"/>
    <x v="337"/>
    <m/>
    <s v=" "/>
    <n v="440.38"/>
    <x v="0"/>
    <x v="0"/>
    <x v="2"/>
    <x v="2"/>
  </r>
  <r>
    <s v="ORD100338"/>
    <s v="CUST21025"/>
    <x v="0"/>
    <x v="338"/>
    <d v="2026-05-01T10:19:48"/>
    <n v="19.000000009546056"/>
    <n v="2090.7399999999998"/>
    <x v="2"/>
    <x v="2"/>
    <x v="1"/>
    <x v="1"/>
  </r>
  <r>
    <s v="ORD100339"/>
    <s v="CUST92692"/>
    <x v="6"/>
    <x v="339"/>
    <d v="2026-05-26T00:05:19"/>
    <n v="18.999999999068677"/>
    <n v="1183.08"/>
    <x v="1"/>
    <x v="0"/>
    <x v="4"/>
    <x v="1"/>
  </r>
  <r>
    <s v="ORD100340"/>
    <s v="CUST59240"/>
    <x v="3"/>
    <x v="340"/>
    <d v="2026-05-07T06:48:15"/>
    <n v="14.99999999650754"/>
    <n v="1833.35"/>
    <x v="2"/>
    <x v="2"/>
    <x v="5"/>
    <x v="1"/>
  </r>
  <r>
    <s v="ORD100341"/>
    <s v="CUST33577"/>
    <x v="1"/>
    <x v="341"/>
    <d v="2026-05-27T15:20:09"/>
    <n v="16.999999992549419"/>
    <n v="370.61"/>
    <x v="0"/>
    <x v="0"/>
    <x v="5"/>
    <x v="1"/>
  </r>
  <r>
    <s v="ORD100342"/>
    <s v="CUST37601"/>
    <x v="6"/>
    <x v="342"/>
    <d v="2026-05-18T02:21:58"/>
    <n v="19.000000009546056"/>
    <n v="1967.95"/>
    <x v="2"/>
    <x v="1"/>
    <x v="3"/>
    <x v="1"/>
  </r>
  <r>
    <s v="ORD100343"/>
    <s v="CUST54664"/>
    <x v="7"/>
    <x v="343"/>
    <d v="2026-05-15T16:39:44"/>
    <n v="13.000000000465661"/>
    <n v="2349.8200000000002"/>
    <x v="2"/>
    <x v="0"/>
    <x v="0"/>
    <x v="1"/>
  </r>
  <r>
    <s v="ORD100344"/>
    <s v="CUST35129"/>
    <x v="4"/>
    <x v="344"/>
    <d v="2026-05-24T15:04:05"/>
    <n v="17.000000003026798"/>
    <n v="1769.67"/>
    <x v="2"/>
    <x v="0"/>
    <x v="1"/>
    <x v="1"/>
  </r>
  <r>
    <s v="ORD100345"/>
    <s v="CUST34029"/>
    <x v="7"/>
    <x v="345"/>
    <d v="2026-05-07T16:25:40"/>
    <n v="17.000000003026798"/>
    <n v="423.74"/>
    <x v="0"/>
    <x v="0"/>
    <x v="0"/>
    <x v="1"/>
  </r>
  <r>
    <s v="ORD100346"/>
    <s v="CUST92512"/>
    <x v="2"/>
    <x v="346"/>
    <m/>
    <s v=" "/>
    <n v="1091.54"/>
    <x v="1"/>
    <x v="0"/>
    <x v="4"/>
    <x v="2"/>
  </r>
  <r>
    <s v="ORD100347"/>
    <s v="CUST40374"/>
    <x v="0"/>
    <x v="347"/>
    <d v="2026-05-04T13:55:08"/>
    <n v="13.000000000465661"/>
    <n v="1181.1300000000001"/>
    <x v="1"/>
    <x v="0"/>
    <x v="1"/>
    <x v="1"/>
  </r>
  <r>
    <s v="ORD100348"/>
    <s v="CUST55697"/>
    <x v="1"/>
    <x v="348"/>
    <d v="2026-05-16T09:33:54"/>
    <n v="17.000000003026798"/>
    <n v="528.30999999999995"/>
    <x v="1"/>
    <x v="2"/>
    <x v="0"/>
    <x v="1"/>
  </r>
  <r>
    <s v="ORD100349"/>
    <s v="CUST56930"/>
    <x v="2"/>
    <x v="349"/>
    <d v="2026-05-21T12:56:53"/>
    <n v="11.999999997206032"/>
    <n v="1515.76"/>
    <x v="2"/>
    <x v="0"/>
    <x v="3"/>
    <x v="1"/>
  </r>
  <r>
    <s v="ORD100350"/>
    <s v="CUST99276"/>
    <x v="2"/>
    <x v="350"/>
    <d v="2026-05-21T10:42:17"/>
    <n v="14.00000000372529"/>
    <n v="1809.32"/>
    <x v="2"/>
    <x v="2"/>
    <x v="3"/>
    <x v="1"/>
  </r>
  <r>
    <s v="ORD100351"/>
    <s v="CUST47607"/>
    <x v="0"/>
    <x v="351"/>
    <m/>
    <s v=" "/>
    <n v="583.64"/>
    <x v="1"/>
    <x v="0"/>
    <x v="5"/>
    <x v="2"/>
  </r>
  <r>
    <s v="ORD100352"/>
    <s v="CUST64942"/>
    <x v="7"/>
    <x v="352"/>
    <d v="2026-05-07T04:52:10"/>
    <n v="45.99999999278225"/>
    <n v="1190.24"/>
    <x v="1"/>
    <x v="1"/>
    <x v="3"/>
    <x v="0"/>
  </r>
  <r>
    <s v="ORD100353"/>
    <s v="CUST46685"/>
    <x v="0"/>
    <x v="353"/>
    <d v="2026-05-29T14:30:26"/>
    <n v="10.000000001164153"/>
    <n v="699.2"/>
    <x v="1"/>
    <x v="0"/>
    <x v="1"/>
    <x v="1"/>
  </r>
  <r>
    <s v="ORD100354"/>
    <s v="CUST54600"/>
    <x v="5"/>
    <x v="354"/>
    <d v="2026-05-08T17:31:49"/>
    <n v="8.9999999979045242"/>
    <n v="1759.12"/>
    <x v="2"/>
    <x v="0"/>
    <x v="4"/>
    <x v="1"/>
  </r>
  <r>
    <s v="ORD100355"/>
    <s v="CUST86244"/>
    <x v="7"/>
    <x v="355"/>
    <d v="2026-05-14T14:34:29"/>
    <n v="14.99999999650754"/>
    <n v="2276.19"/>
    <x v="2"/>
    <x v="0"/>
    <x v="0"/>
    <x v="1"/>
  </r>
  <r>
    <s v="ORD100356"/>
    <s v="CUST84032"/>
    <x v="7"/>
    <x v="356"/>
    <d v="2026-05-17T03:25:10"/>
    <n v="20.000000002328306"/>
    <n v="2010.57"/>
    <x v="2"/>
    <x v="1"/>
    <x v="2"/>
    <x v="1"/>
  </r>
  <r>
    <s v="ORD100357"/>
    <s v="CUST52914"/>
    <x v="3"/>
    <x v="357"/>
    <d v="2026-05-20T22:52:38"/>
    <n v="7.9999999946448952"/>
    <n v="1823.1"/>
    <x v="2"/>
    <x v="0"/>
    <x v="0"/>
    <x v="1"/>
  </r>
  <r>
    <s v="ORD100358"/>
    <s v="CUST26658"/>
    <x v="6"/>
    <x v="358"/>
    <d v="2026-05-03T07:08:54"/>
    <n v="15.000000006984919"/>
    <n v="395.51"/>
    <x v="0"/>
    <x v="2"/>
    <x v="1"/>
    <x v="1"/>
  </r>
  <r>
    <s v="ORD100359"/>
    <s v="CUST32097"/>
    <x v="2"/>
    <x v="359"/>
    <d v="2026-05-21T04:16:45"/>
    <n v="11.000000004423782"/>
    <n v="373"/>
    <x v="0"/>
    <x v="1"/>
    <x v="0"/>
    <x v="1"/>
  </r>
  <r>
    <s v="ORD100360"/>
    <s v="CUST75518"/>
    <x v="4"/>
    <x v="360"/>
    <d v="2026-05-16T11:50:32"/>
    <n v="24.999999997671694"/>
    <n v="1177.56"/>
    <x v="1"/>
    <x v="2"/>
    <x v="3"/>
    <x v="0"/>
  </r>
  <r>
    <s v="ORD100361"/>
    <s v="CUST56265"/>
    <x v="1"/>
    <x v="361"/>
    <d v="2026-05-04T21:58:16"/>
    <n v="39.000000001396984"/>
    <n v="970.06"/>
    <x v="1"/>
    <x v="0"/>
    <x v="0"/>
    <x v="0"/>
  </r>
  <r>
    <s v="ORD100362"/>
    <s v="CUST25778"/>
    <x v="5"/>
    <x v="362"/>
    <d v="2026-05-12T00:44:54"/>
    <n v="18.999999999068677"/>
    <n v="1356.16"/>
    <x v="1"/>
    <x v="0"/>
    <x v="3"/>
    <x v="1"/>
  </r>
  <r>
    <s v="ORD100363"/>
    <s v="CUST20464"/>
    <x v="5"/>
    <x v="363"/>
    <m/>
    <s v=" "/>
    <n v="1020.81"/>
    <x v="1"/>
    <x v="0"/>
    <x v="5"/>
    <x v="2"/>
  </r>
  <r>
    <s v="ORD100364"/>
    <s v="CUST63719"/>
    <x v="1"/>
    <x v="364"/>
    <d v="2026-05-16T03:40:06"/>
    <n v="10.999999993946403"/>
    <n v="1997.56"/>
    <x v="2"/>
    <x v="1"/>
    <x v="5"/>
    <x v="1"/>
  </r>
  <r>
    <s v="ORD100365"/>
    <s v="CUST37146"/>
    <x v="0"/>
    <x v="365"/>
    <d v="2026-05-09T03:54:03"/>
    <n v="53.999999997904524"/>
    <n v="1327"/>
    <x v="1"/>
    <x v="1"/>
    <x v="5"/>
    <x v="0"/>
  </r>
  <r>
    <s v="ORD100366"/>
    <s v="CUST54335"/>
    <x v="3"/>
    <x v="366"/>
    <d v="2026-05-15T04:29:52"/>
    <n v="17.000000003026798"/>
    <n v="2378.41"/>
    <x v="2"/>
    <x v="1"/>
    <x v="1"/>
    <x v="1"/>
  </r>
  <r>
    <s v="ORD100367"/>
    <s v="CUST41178"/>
    <x v="6"/>
    <x v="367"/>
    <d v="2026-05-26T11:54:40"/>
    <n v="11.000000004423782"/>
    <n v="1007.83"/>
    <x v="1"/>
    <x v="2"/>
    <x v="0"/>
    <x v="1"/>
  </r>
  <r>
    <s v="ORD100368"/>
    <s v="CUST77912"/>
    <x v="1"/>
    <x v="368"/>
    <d v="2026-05-06T18:48:16"/>
    <n v="10.999999993946403"/>
    <n v="1012.46"/>
    <x v="1"/>
    <x v="0"/>
    <x v="2"/>
    <x v="1"/>
  </r>
  <r>
    <s v="ORD100369"/>
    <s v="CUST92309"/>
    <x v="2"/>
    <x v="369"/>
    <d v="2026-05-05T00:19:12"/>
    <n v="15.000000006984919"/>
    <n v="1942.82"/>
    <x v="2"/>
    <x v="0"/>
    <x v="5"/>
    <x v="1"/>
  </r>
  <r>
    <s v="ORD100370"/>
    <s v="CUST76057"/>
    <x v="1"/>
    <x v="370"/>
    <d v="2026-05-29T04:51:57"/>
    <n v="45.99999999278225"/>
    <n v="2288.41"/>
    <x v="2"/>
    <x v="1"/>
    <x v="4"/>
    <x v="0"/>
  </r>
  <r>
    <s v="ORD100371"/>
    <s v="CUST93519"/>
    <x v="2"/>
    <x v="371"/>
    <d v="2026-05-22T03:22:29"/>
    <n v="19.999999991850927"/>
    <n v="1456.18"/>
    <x v="1"/>
    <x v="1"/>
    <x v="4"/>
    <x v="1"/>
  </r>
  <r>
    <s v="ORD100372"/>
    <s v="CUST21267"/>
    <x v="4"/>
    <x v="372"/>
    <m/>
    <s v=" "/>
    <n v="1681.87"/>
    <x v="2"/>
    <x v="0"/>
    <x v="5"/>
    <x v="2"/>
  </r>
  <r>
    <s v="ORD100373"/>
    <s v="CUST34663"/>
    <x v="6"/>
    <x v="373"/>
    <d v="2026-05-28T23:44:31"/>
    <n v="18.999999999068677"/>
    <n v="459.22"/>
    <x v="0"/>
    <x v="0"/>
    <x v="5"/>
    <x v="1"/>
  </r>
  <r>
    <s v="ORD100374"/>
    <s v="CUST29862"/>
    <x v="3"/>
    <x v="374"/>
    <d v="2026-05-02T12:57:27"/>
    <n v="13.999999993247911"/>
    <n v="2184.16"/>
    <x v="2"/>
    <x v="0"/>
    <x v="2"/>
    <x v="1"/>
  </r>
  <r>
    <s v="ORD100375"/>
    <s v="CUST39536"/>
    <x v="1"/>
    <x v="375"/>
    <d v="2026-05-12T11:51:58"/>
    <n v="37.999999998137355"/>
    <n v="528.28"/>
    <x v="1"/>
    <x v="2"/>
    <x v="2"/>
    <x v="0"/>
  </r>
  <r>
    <s v="ORD100376"/>
    <s v="CUST91511"/>
    <x v="1"/>
    <x v="376"/>
    <d v="2026-05-12T08:31:28"/>
    <n v="14.00000000372529"/>
    <n v="1807.91"/>
    <x v="2"/>
    <x v="2"/>
    <x v="1"/>
    <x v="1"/>
  </r>
  <r>
    <s v="ORD100377"/>
    <s v="CUST24722"/>
    <x v="1"/>
    <x v="377"/>
    <d v="2026-05-10T01:49:39"/>
    <n v="10.000000001164153"/>
    <n v="1106"/>
    <x v="1"/>
    <x v="1"/>
    <x v="1"/>
    <x v="1"/>
  </r>
  <r>
    <s v="ORD100378"/>
    <s v="CUST68393"/>
    <x v="7"/>
    <x v="378"/>
    <d v="2026-05-16T20:26:31"/>
    <n v="7.9999999946448952"/>
    <n v="841.84"/>
    <x v="1"/>
    <x v="0"/>
    <x v="4"/>
    <x v="1"/>
  </r>
  <r>
    <s v="ORD100379"/>
    <s v="CUST96350"/>
    <x v="6"/>
    <x v="379"/>
    <d v="2026-05-27T17:43:03"/>
    <n v="13.000000000465661"/>
    <n v="1943.71"/>
    <x v="2"/>
    <x v="0"/>
    <x v="2"/>
    <x v="1"/>
  </r>
  <r>
    <s v="ORD100380"/>
    <s v="CUST92420"/>
    <x v="1"/>
    <x v="380"/>
    <d v="2026-05-06T08:32:08"/>
    <n v="8.0000000051222742"/>
    <n v="1170.02"/>
    <x v="1"/>
    <x v="2"/>
    <x v="0"/>
    <x v="1"/>
  </r>
  <r>
    <s v="ORD100381"/>
    <s v="CUST39410"/>
    <x v="2"/>
    <x v="381"/>
    <d v="2026-05-27T06:50:56"/>
    <n v="9.0000000083819032"/>
    <n v="1602.49"/>
    <x v="2"/>
    <x v="2"/>
    <x v="1"/>
    <x v="1"/>
  </r>
  <r>
    <s v="ORD100382"/>
    <s v="CUST76333"/>
    <x v="3"/>
    <x v="382"/>
    <d v="2026-05-16T21:04:34"/>
    <n v="13.000000000465661"/>
    <n v="381.13"/>
    <x v="0"/>
    <x v="0"/>
    <x v="0"/>
    <x v="1"/>
  </r>
  <r>
    <s v="ORD100383"/>
    <s v="CUST36704"/>
    <x v="5"/>
    <x v="383"/>
    <d v="2026-05-02T12:58:45"/>
    <n v="7.9999999946448952"/>
    <n v="414.77"/>
    <x v="0"/>
    <x v="0"/>
    <x v="1"/>
    <x v="1"/>
  </r>
  <r>
    <s v="ORD100384"/>
    <s v="CUST25482"/>
    <x v="4"/>
    <x v="384"/>
    <d v="2026-05-23T15:50:50"/>
    <n v="15.999999999767169"/>
    <n v="585.84"/>
    <x v="1"/>
    <x v="0"/>
    <x v="5"/>
    <x v="1"/>
  </r>
  <r>
    <s v="ORD100385"/>
    <s v="CUST60404"/>
    <x v="3"/>
    <x v="385"/>
    <m/>
    <s v=" "/>
    <n v="1593.14"/>
    <x v="2"/>
    <x v="0"/>
    <x v="2"/>
    <x v="2"/>
  </r>
  <r>
    <s v="ORD100386"/>
    <s v="CUST67795"/>
    <x v="6"/>
    <x v="386"/>
    <m/>
    <s v=" "/>
    <n v="706.47"/>
    <x v="1"/>
    <x v="0"/>
    <x v="1"/>
    <x v="2"/>
  </r>
  <r>
    <s v="ORD100387"/>
    <s v="CUST25229"/>
    <x v="1"/>
    <x v="387"/>
    <d v="2026-05-02T10:47:14"/>
    <n v="9.0000000083819032"/>
    <n v="1199.74"/>
    <x v="1"/>
    <x v="2"/>
    <x v="5"/>
    <x v="1"/>
  </r>
  <r>
    <s v="ORD100388"/>
    <s v="CUST66898"/>
    <x v="6"/>
    <x v="388"/>
    <d v="2026-05-02T08:13:51"/>
    <n v="10.000000001164153"/>
    <n v="2151.9899999999998"/>
    <x v="2"/>
    <x v="2"/>
    <x v="0"/>
    <x v="1"/>
  </r>
  <r>
    <s v="ORD100389"/>
    <s v="CUST47535"/>
    <x v="0"/>
    <x v="389"/>
    <d v="2026-05-31T16:34:49"/>
    <n v="12.000000007683411"/>
    <n v="1403.4"/>
    <x v="1"/>
    <x v="0"/>
    <x v="0"/>
    <x v="1"/>
  </r>
  <r>
    <s v="ORD100390"/>
    <s v="CUST52706"/>
    <x v="1"/>
    <x v="390"/>
    <d v="2026-05-15T05:21:15"/>
    <n v="15.000000006984919"/>
    <n v="112.8"/>
    <x v="0"/>
    <x v="2"/>
    <x v="4"/>
    <x v="1"/>
  </r>
  <r>
    <s v="ORD100391"/>
    <s v="CUST33473"/>
    <x v="1"/>
    <x v="391"/>
    <d v="2026-05-16T08:45:52"/>
    <n v="10.999999993946403"/>
    <n v="2217.4899999999998"/>
    <x v="2"/>
    <x v="2"/>
    <x v="3"/>
    <x v="1"/>
  </r>
  <r>
    <s v="ORD100392"/>
    <s v="CUST66357"/>
    <x v="6"/>
    <x v="392"/>
    <d v="2026-05-04T08:24:54"/>
    <n v="47.999999999301508"/>
    <n v="669.91"/>
    <x v="1"/>
    <x v="2"/>
    <x v="2"/>
    <x v="0"/>
  </r>
  <r>
    <s v="ORD100393"/>
    <s v="CUST93385"/>
    <x v="1"/>
    <x v="393"/>
    <d v="2026-05-25T12:26:53"/>
    <n v="26.999999993713573"/>
    <n v="1512.27"/>
    <x v="2"/>
    <x v="0"/>
    <x v="4"/>
    <x v="0"/>
  </r>
  <r>
    <s v="ORD100394"/>
    <s v="CUST73264"/>
    <x v="7"/>
    <x v="394"/>
    <d v="2026-05-12T05:23:37"/>
    <n v="8.0000000051222742"/>
    <n v="1240.71"/>
    <x v="1"/>
    <x v="2"/>
    <x v="4"/>
    <x v="1"/>
  </r>
  <r>
    <s v="ORD100395"/>
    <s v="CUST40257"/>
    <x v="3"/>
    <x v="395"/>
    <d v="2026-05-21T23:55:22"/>
    <n v="10.999999993946403"/>
    <n v="1083.3599999999999"/>
    <x v="1"/>
    <x v="0"/>
    <x v="2"/>
    <x v="1"/>
  </r>
  <r>
    <s v="ORD100396"/>
    <s v="CUST51029"/>
    <x v="0"/>
    <x v="396"/>
    <d v="2026-05-02T23:21:22"/>
    <n v="37.000000005355105"/>
    <n v="289.57"/>
    <x v="0"/>
    <x v="0"/>
    <x v="3"/>
    <x v="0"/>
  </r>
  <r>
    <s v="ORD100397"/>
    <s v="CUST41299"/>
    <x v="3"/>
    <x v="397"/>
    <d v="2026-05-10T18:24:53"/>
    <n v="11.999999997206032"/>
    <n v="1539.25"/>
    <x v="2"/>
    <x v="0"/>
    <x v="5"/>
    <x v="1"/>
  </r>
  <r>
    <s v="ORD100398"/>
    <s v="CUST43206"/>
    <x v="5"/>
    <x v="398"/>
    <d v="2026-06-01T17:29:11"/>
    <n v="10.000000001164153"/>
    <n v="686.31"/>
    <x v="1"/>
    <x v="0"/>
    <x v="4"/>
    <x v="1"/>
  </r>
  <r>
    <s v="ORD100399"/>
    <s v="CUST74040"/>
    <x v="6"/>
    <x v="399"/>
    <d v="2026-06-01T01:16:03"/>
    <n v="10.999999993946403"/>
    <n v="1412.62"/>
    <x v="1"/>
    <x v="1"/>
    <x v="4"/>
    <x v="1"/>
  </r>
  <r>
    <s v="ORD100400"/>
    <s v="CUST23248"/>
    <x v="6"/>
    <x v="400"/>
    <d v="2026-05-15T19:26:01"/>
    <n v="11.999999997206032"/>
    <n v="1586.44"/>
    <x v="2"/>
    <x v="0"/>
    <x v="3"/>
    <x v="1"/>
  </r>
  <r>
    <s v="ORD100401"/>
    <s v="CUST43509"/>
    <x v="0"/>
    <x v="401"/>
    <d v="2026-05-31T00:57:58"/>
    <n v="36.000000002095476"/>
    <n v="1437.12"/>
    <x v="1"/>
    <x v="0"/>
    <x v="5"/>
    <x v="0"/>
  </r>
  <r>
    <s v="ORD100402"/>
    <s v="CUST63540"/>
    <x v="3"/>
    <x v="402"/>
    <d v="2026-05-13T04:34:45"/>
    <n v="13.000000000465661"/>
    <n v="2079.61"/>
    <x v="2"/>
    <x v="1"/>
    <x v="4"/>
    <x v="1"/>
  </r>
  <r>
    <s v="ORD100403"/>
    <s v="CUST73964"/>
    <x v="3"/>
    <x v="403"/>
    <d v="2026-05-12T10:19:01"/>
    <n v="15.999999999767169"/>
    <n v="216.41"/>
    <x v="0"/>
    <x v="2"/>
    <x v="0"/>
    <x v="1"/>
  </r>
  <r>
    <s v="ORD100404"/>
    <s v="CUST52527"/>
    <x v="5"/>
    <x v="404"/>
    <m/>
    <s v=" "/>
    <n v="454.81"/>
    <x v="0"/>
    <x v="0"/>
    <x v="3"/>
    <x v="2"/>
  </r>
  <r>
    <s v="ORD100405"/>
    <s v="CUST54970"/>
    <x v="0"/>
    <x v="405"/>
    <d v="2026-05-10T04:05:33"/>
    <n v="11.000000004423782"/>
    <n v="1666.86"/>
    <x v="2"/>
    <x v="1"/>
    <x v="2"/>
    <x v="1"/>
  </r>
  <r>
    <s v="ORD100406"/>
    <s v="CUST40866"/>
    <x v="6"/>
    <x v="406"/>
    <d v="2026-05-24T02:33:45"/>
    <n v="10.000000001164153"/>
    <n v="187.13"/>
    <x v="0"/>
    <x v="1"/>
    <x v="3"/>
    <x v="1"/>
  </r>
  <r>
    <s v="ORD100407"/>
    <s v="CUST34168"/>
    <x v="5"/>
    <x v="407"/>
    <d v="2026-05-26T18:17:21"/>
    <n v="11.000000004423782"/>
    <n v="2148.19"/>
    <x v="2"/>
    <x v="0"/>
    <x v="3"/>
    <x v="1"/>
  </r>
  <r>
    <s v="ORD100408"/>
    <s v="CUST70140"/>
    <x v="7"/>
    <x v="408"/>
    <d v="2026-05-20T10:16:10"/>
    <n v="8.0000000051222742"/>
    <n v="1699.79"/>
    <x v="2"/>
    <x v="2"/>
    <x v="1"/>
    <x v="1"/>
  </r>
  <r>
    <s v="ORD100409"/>
    <s v="CUST25075"/>
    <x v="0"/>
    <x v="409"/>
    <d v="2026-05-28T20:41:41"/>
    <n v="10.000000001164153"/>
    <n v="2110.23"/>
    <x v="2"/>
    <x v="0"/>
    <x v="0"/>
    <x v="1"/>
  </r>
  <r>
    <s v="ORD100410"/>
    <s v="CUST81694"/>
    <x v="5"/>
    <x v="410"/>
    <d v="2026-05-21T05:57:35"/>
    <n v="11.999999997206032"/>
    <n v="815.26"/>
    <x v="1"/>
    <x v="2"/>
    <x v="4"/>
    <x v="1"/>
  </r>
  <r>
    <s v="ORD100411"/>
    <s v="CUST49154"/>
    <x v="5"/>
    <x v="411"/>
    <d v="2026-05-23T08:13:37"/>
    <n v="30.99999999627471"/>
    <n v="2307.92"/>
    <x v="2"/>
    <x v="2"/>
    <x v="5"/>
    <x v="0"/>
  </r>
  <r>
    <s v="ORD100412"/>
    <s v="CUST46158"/>
    <x v="6"/>
    <x v="412"/>
    <d v="2026-05-12T12:27:46"/>
    <n v="7.9999999946448952"/>
    <n v="216.68"/>
    <x v="0"/>
    <x v="0"/>
    <x v="2"/>
    <x v="1"/>
  </r>
  <r>
    <s v="ORD100413"/>
    <s v="CUST80332"/>
    <x v="5"/>
    <x v="413"/>
    <d v="2026-05-19T04:29:46"/>
    <n v="17.999999995809048"/>
    <n v="1099.7"/>
    <x v="1"/>
    <x v="1"/>
    <x v="0"/>
    <x v="1"/>
  </r>
  <r>
    <s v="ORD100414"/>
    <s v="CUST65830"/>
    <x v="4"/>
    <x v="414"/>
    <d v="2026-05-01T22:46:25"/>
    <n v="10.000000001164153"/>
    <n v="526.79999999999995"/>
    <x v="1"/>
    <x v="0"/>
    <x v="1"/>
    <x v="1"/>
  </r>
  <r>
    <s v="ORD100415"/>
    <s v="CUST60001"/>
    <x v="4"/>
    <x v="415"/>
    <d v="2026-05-03T05:52:20"/>
    <n v="14.00000000372529"/>
    <n v="1712.02"/>
    <x v="2"/>
    <x v="2"/>
    <x v="3"/>
    <x v="1"/>
  </r>
  <r>
    <s v="ORD100416"/>
    <s v="CUST49831"/>
    <x v="4"/>
    <x v="416"/>
    <d v="2026-05-15T20:54:06"/>
    <n v="18.000000006286427"/>
    <n v="1565.62"/>
    <x v="2"/>
    <x v="0"/>
    <x v="2"/>
    <x v="1"/>
  </r>
  <r>
    <s v="ORD100417"/>
    <s v="CUST49219"/>
    <x v="3"/>
    <x v="417"/>
    <m/>
    <s v=" "/>
    <n v="1758.63"/>
    <x v="2"/>
    <x v="0"/>
    <x v="5"/>
    <x v="2"/>
  </r>
  <r>
    <s v="ORD100418"/>
    <s v="CUST23101"/>
    <x v="3"/>
    <x v="418"/>
    <d v="2026-05-05T07:54:20"/>
    <n v="31.999999999534339"/>
    <n v="1526.93"/>
    <x v="2"/>
    <x v="2"/>
    <x v="2"/>
    <x v="0"/>
  </r>
  <r>
    <s v="ORD100419"/>
    <s v="CUST45313"/>
    <x v="5"/>
    <x v="419"/>
    <d v="2026-05-11T21:09:05"/>
    <n v="13.000000000465661"/>
    <n v="1988.54"/>
    <x v="2"/>
    <x v="0"/>
    <x v="2"/>
    <x v="1"/>
  </r>
  <r>
    <s v="ORD100420"/>
    <s v="CUST72227"/>
    <x v="4"/>
    <x v="420"/>
    <d v="2026-05-22T14:11:16"/>
    <n v="10.999999993946403"/>
    <n v="524.80999999999995"/>
    <x v="1"/>
    <x v="0"/>
    <x v="0"/>
    <x v="1"/>
  </r>
  <r>
    <s v="ORD100421"/>
    <s v="CUST63025"/>
    <x v="6"/>
    <x v="421"/>
    <d v="2026-05-14T08:28:04"/>
    <n v="43.999999996740371"/>
    <n v="1191.81"/>
    <x v="1"/>
    <x v="2"/>
    <x v="0"/>
    <x v="0"/>
  </r>
  <r>
    <s v="ORD100422"/>
    <s v="CUST56517"/>
    <x v="4"/>
    <x v="422"/>
    <d v="2026-05-23T09:05:06"/>
    <n v="14.99999999650754"/>
    <n v="1488.52"/>
    <x v="1"/>
    <x v="2"/>
    <x v="4"/>
    <x v="1"/>
  </r>
  <r>
    <s v="ORD100423"/>
    <s v="CUST29099"/>
    <x v="4"/>
    <x v="423"/>
    <d v="2026-05-01T01:35:28"/>
    <n v="11.000000004423782"/>
    <n v="2334.5500000000002"/>
    <x v="2"/>
    <x v="1"/>
    <x v="5"/>
    <x v="1"/>
  </r>
  <r>
    <s v="ORD100424"/>
    <s v="CUST56585"/>
    <x v="7"/>
    <x v="424"/>
    <m/>
    <s v=" "/>
    <n v="322.5"/>
    <x v="0"/>
    <x v="0"/>
    <x v="3"/>
    <x v="2"/>
  </r>
  <r>
    <s v="ORD100425"/>
    <s v="CUST66025"/>
    <x v="7"/>
    <x v="425"/>
    <d v="2026-06-01T12:35:34"/>
    <n v="12.999999989988282"/>
    <n v="817.31"/>
    <x v="1"/>
    <x v="0"/>
    <x v="4"/>
    <x v="1"/>
  </r>
  <r>
    <s v="ORD100426"/>
    <s v="CUST86768"/>
    <x v="2"/>
    <x v="426"/>
    <d v="2026-05-25T04:13:30"/>
    <n v="20.000000002328306"/>
    <n v="983.57"/>
    <x v="1"/>
    <x v="1"/>
    <x v="4"/>
    <x v="1"/>
  </r>
  <r>
    <s v="ORD100427"/>
    <s v="CUST72386"/>
    <x v="3"/>
    <x v="427"/>
    <m/>
    <s v=" "/>
    <n v="1008.45"/>
    <x v="1"/>
    <x v="0"/>
    <x v="3"/>
    <x v="2"/>
  </r>
  <r>
    <s v="ORD100428"/>
    <s v="CUST90282"/>
    <x v="6"/>
    <x v="428"/>
    <d v="2026-05-03T09:14:20"/>
    <n v="13.000000000465661"/>
    <n v="261.39999999999998"/>
    <x v="0"/>
    <x v="2"/>
    <x v="1"/>
    <x v="1"/>
  </r>
  <r>
    <s v="ORD100429"/>
    <s v="CUST63404"/>
    <x v="7"/>
    <x v="429"/>
    <m/>
    <s v=" "/>
    <n v="1124.58"/>
    <x v="1"/>
    <x v="0"/>
    <x v="0"/>
    <x v="2"/>
  </r>
  <r>
    <s v="ORD100430"/>
    <s v="CUST23617"/>
    <x v="4"/>
    <x v="430"/>
    <d v="2026-05-11T12:28:46"/>
    <n v="17.999999995809048"/>
    <n v="1420.13"/>
    <x v="1"/>
    <x v="0"/>
    <x v="5"/>
    <x v="1"/>
  </r>
  <r>
    <s v="ORD100431"/>
    <s v="CUST35118"/>
    <x v="4"/>
    <x v="431"/>
    <d v="2026-05-05T18:07:05"/>
    <n v="10.000000001164153"/>
    <n v="801.8"/>
    <x v="1"/>
    <x v="0"/>
    <x v="2"/>
    <x v="1"/>
  </r>
  <r>
    <s v="ORD100432"/>
    <s v="CUST54237"/>
    <x v="2"/>
    <x v="432"/>
    <d v="2026-05-22T19:55:57"/>
    <n v="15.999999999767169"/>
    <n v="421.91"/>
    <x v="0"/>
    <x v="0"/>
    <x v="1"/>
    <x v="1"/>
  </r>
  <r>
    <s v="ORD100433"/>
    <s v="CUST43405"/>
    <x v="2"/>
    <x v="433"/>
    <m/>
    <s v=" "/>
    <n v="1766.09"/>
    <x v="2"/>
    <x v="0"/>
    <x v="5"/>
    <x v="2"/>
  </r>
  <r>
    <s v="ORD100434"/>
    <s v="CUST96099"/>
    <x v="3"/>
    <x v="434"/>
    <d v="2026-05-11T20:16:27"/>
    <n v="20.000000002328306"/>
    <n v="757.6"/>
    <x v="1"/>
    <x v="0"/>
    <x v="0"/>
    <x v="1"/>
  </r>
  <r>
    <s v="ORD100435"/>
    <s v="CUST54795"/>
    <x v="7"/>
    <x v="435"/>
    <d v="2026-05-11T01:23:21"/>
    <n v="16.999999992549419"/>
    <n v="1363.93"/>
    <x v="1"/>
    <x v="1"/>
    <x v="0"/>
    <x v="1"/>
  </r>
  <r>
    <s v="ORD100436"/>
    <s v="CUST25014"/>
    <x v="6"/>
    <x v="436"/>
    <d v="2026-05-14T06:40:44"/>
    <n v="13.999999993247911"/>
    <n v="1358.15"/>
    <x v="1"/>
    <x v="2"/>
    <x v="5"/>
    <x v="1"/>
  </r>
  <r>
    <s v="ORD100437"/>
    <s v="CUST34208"/>
    <x v="6"/>
    <x v="437"/>
    <d v="2026-05-17T21:37:19"/>
    <n v="18.999999999068677"/>
    <n v="1768.99"/>
    <x v="2"/>
    <x v="0"/>
    <x v="2"/>
    <x v="1"/>
  </r>
  <r>
    <s v="ORD100438"/>
    <s v="CUST98193"/>
    <x v="1"/>
    <x v="438"/>
    <d v="2026-05-16T03:12:25"/>
    <n v="8.9999999979045242"/>
    <n v="1567.93"/>
    <x v="2"/>
    <x v="1"/>
    <x v="1"/>
    <x v="1"/>
  </r>
  <r>
    <s v="ORD100439"/>
    <s v="CUST76959"/>
    <x v="4"/>
    <x v="439"/>
    <d v="2026-06-01T04:12:23"/>
    <n v="8.9999999979045242"/>
    <n v="361.33"/>
    <x v="0"/>
    <x v="1"/>
    <x v="0"/>
    <x v="1"/>
  </r>
  <r>
    <s v="ORD100440"/>
    <s v="CUST65309"/>
    <x v="2"/>
    <x v="440"/>
    <d v="2026-05-01T13:15:18"/>
    <n v="10.000000001164153"/>
    <n v="1850.35"/>
    <x v="2"/>
    <x v="0"/>
    <x v="0"/>
    <x v="1"/>
  </r>
  <r>
    <s v="ORD100441"/>
    <s v="CUST61114"/>
    <x v="4"/>
    <x v="441"/>
    <m/>
    <s v=" "/>
    <n v="1608.55"/>
    <x v="2"/>
    <x v="0"/>
    <x v="1"/>
    <x v="2"/>
  </r>
  <r>
    <s v="ORD100442"/>
    <s v="CUST77199"/>
    <x v="0"/>
    <x v="442"/>
    <d v="2026-05-14T05:50:18"/>
    <n v="9.9999999906867743"/>
    <n v="2468.25"/>
    <x v="2"/>
    <x v="2"/>
    <x v="1"/>
    <x v="1"/>
  </r>
  <r>
    <s v="ORD100443"/>
    <s v="CUST99457"/>
    <x v="3"/>
    <x v="443"/>
    <d v="2026-05-06T16:14:07"/>
    <n v="19.999999991850927"/>
    <n v="1259.79"/>
    <x v="1"/>
    <x v="0"/>
    <x v="2"/>
    <x v="1"/>
  </r>
  <r>
    <s v="ORD100444"/>
    <s v="CUST87033"/>
    <x v="4"/>
    <x v="444"/>
    <d v="2026-05-20T12:41:31"/>
    <n v="11.000000004423782"/>
    <n v="1751.77"/>
    <x v="2"/>
    <x v="0"/>
    <x v="2"/>
    <x v="1"/>
  </r>
  <r>
    <s v="ORD100445"/>
    <s v="CUST35157"/>
    <x v="5"/>
    <x v="445"/>
    <m/>
    <s v=" "/>
    <n v="2340.34"/>
    <x v="2"/>
    <x v="0"/>
    <x v="5"/>
    <x v="2"/>
  </r>
  <r>
    <s v="ORD100446"/>
    <s v="CUST70488"/>
    <x v="2"/>
    <x v="446"/>
    <d v="2026-05-25T06:00:56"/>
    <n v="36.999999994877726"/>
    <n v="2466.0700000000002"/>
    <x v="2"/>
    <x v="2"/>
    <x v="1"/>
    <x v="0"/>
  </r>
  <r>
    <s v="ORD100447"/>
    <s v="CUST95574"/>
    <x v="4"/>
    <x v="447"/>
    <d v="2026-05-25T11:27:28"/>
    <n v="15.999999999767169"/>
    <n v="788.25"/>
    <x v="1"/>
    <x v="2"/>
    <x v="3"/>
    <x v="1"/>
  </r>
  <r>
    <s v="ORD100448"/>
    <s v="CUST44914"/>
    <x v="6"/>
    <x v="448"/>
    <d v="2026-05-03T09:17:29"/>
    <n v="49.000000002561137"/>
    <n v="1560.23"/>
    <x v="2"/>
    <x v="2"/>
    <x v="5"/>
    <x v="0"/>
  </r>
  <r>
    <s v="ORD100449"/>
    <s v="CUST53386"/>
    <x v="3"/>
    <x v="449"/>
    <d v="2026-05-17T08:12:17"/>
    <n v="18.999999999068677"/>
    <n v="858.57"/>
    <x v="1"/>
    <x v="2"/>
    <x v="3"/>
    <x v="1"/>
  </r>
  <r>
    <s v="ORD100450"/>
    <s v="CUST25817"/>
    <x v="6"/>
    <x v="450"/>
    <d v="2026-05-04T05:01:44"/>
    <n v="13.000000000465661"/>
    <n v="1359.94"/>
    <x v="1"/>
    <x v="2"/>
    <x v="5"/>
    <x v="1"/>
  </r>
  <r>
    <s v="ORD100451"/>
    <s v="CUST77154"/>
    <x v="5"/>
    <x v="451"/>
    <d v="2026-05-07T02:55:22"/>
    <n v="13.000000000465661"/>
    <n v="2487.06"/>
    <x v="2"/>
    <x v="1"/>
    <x v="3"/>
    <x v="1"/>
  </r>
  <r>
    <s v="ORD100452"/>
    <s v="CUST20221"/>
    <x v="2"/>
    <x v="452"/>
    <d v="2026-05-27T18:31:35"/>
    <n v="16.999999992549419"/>
    <n v="948.25"/>
    <x v="1"/>
    <x v="0"/>
    <x v="2"/>
    <x v="1"/>
  </r>
  <r>
    <s v="ORD100453"/>
    <s v="CUST88146"/>
    <x v="0"/>
    <x v="453"/>
    <d v="2026-05-04T13:06:33"/>
    <n v="13.999999993247911"/>
    <n v="410.31"/>
    <x v="0"/>
    <x v="0"/>
    <x v="5"/>
    <x v="1"/>
  </r>
  <r>
    <s v="ORD100454"/>
    <s v="CUST90575"/>
    <x v="4"/>
    <x v="454"/>
    <d v="2026-05-27T18:01:55"/>
    <n v="17.999999995809048"/>
    <n v="1449.32"/>
    <x v="1"/>
    <x v="0"/>
    <x v="5"/>
    <x v="1"/>
  </r>
  <r>
    <s v="ORD100455"/>
    <s v="CUST45825"/>
    <x v="4"/>
    <x v="455"/>
    <d v="2026-05-31T19:07:15"/>
    <n v="11.000000004423782"/>
    <n v="1346.29"/>
    <x v="1"/>
    <x v="0"/>
    <x v="4"/>
    <x v="1"/>
  </r>
  <r>
    <s v="ORD100456"/>
    <s v="CUST67739"/>
    <x v="5"/>
    <x v="456"/>
    <d v="2026-05-31T09:13:25"/>
    <n v="8.0000000051222742"/>
    <n v="1615.46"/>
    <x v="2"/>
    <x v="2"/>
    <x v="3"/>
    <x v="1"/>
  </r>
  <r>
    <s v="ORD100457"/>
    <s v="CUST76531"/>
    <x v="3"/>
    <x v="457"/>
    <d v="2026-05-03T17:13:57"/>
    <n v="36.999999994877726"/>
    <n v="1281.01"/>
    <x v="1"/>
    <x v="0"/>
    <x v="5"/>
    <x v="0"/>
  </r>
  <r>
    <s v="ORD100458"/>
    <s v="CUST29171"/>
    <x v="3"/>
    <x v="458"/>
    <d v="2026-05-10T04:04:28"/>
    <n v="15.999999999767169"/>
    <n v="530.78"/>
    <x v="1"/>
    <x v="1"/>
    <x v="5"/>
    <x v="1"/>
  </r>
  <r>
    <s v="ORD100459"/>
    <s v="CUST63279"/>
    <x v="7"/>
    <x v="459"/>
    <d v="2026-05-12T05:25:51"/>
    <n v="11.999999997206032"/>
    <n v="1561.57"/>
    <x v="2"/>
    <x v="2"/>
    <x v="2"/>
    <x v="1"/>
  </r>
  <r>
    <s v="ORD100460"/>
    <s v="CUST61145"/>
    <x v="1"/>
    <x v="460"/>
    <d v="2026-05-13T04:22:27"/>
    <n v="19.999999991850927"/>
    <n v="1799.61"/>
    <x v="2"/>
    <x v="1"/>
    <x v="3"/>
    <x v="1"/>
  </r>
  <r>
    <s v="ORD100461"/>
    <s v="CUST36334"/>
    <x v="1"/>
    <x v="461"/>
    <d v="2026-05-06T21:37:12"/>
    <n v="10.000000001164153"/>
    <n v="2449.2199999999998"/>
    <x v="2"/>
    <x v="0"/>
    <x v="1"/>
    <x v="1"/>
  </r>
  <r>
    <s v="ORD100462"/>
    <s v="CUST59363"/>
    <x v="3"/>
    <x v="462"/>
    <d v="2026-05-10T20:01:20"/>
    <n v="45"/>
    <n v="102.79"/>
    <x v="0"/>
    <x v="0"/>
    <x v="3"/>
    <x v="0"/>
  </r>
  <r>
    <s v="ORD100463"/>
    <s v="CUST86469"/>
    <x v="2"/>
    <x v="463"/>
    <d v="2026-05-05T02:35:35"/>
    <n v="11.000000004423782"/>
    <n v="156.57"/>
    <x v="0"/>
    <x v="1"/>
    <x v="0"/>
    <x v="1"/>
  </r>
  <r>
    <s v="ORD100464"/>
    <s v="CUST60538"/>
    <x v="3"/>
    <x v="464"/>
    <d v="2026-05-26T17:28:54"/>
    <n v="8.0000000051222742"/>
    <n v="1600.11"/>
    <x v="2"/>
    <x v="0"/>
    <x v="1"/>
    <x v="1"/>
  </r>
  <r>
    <s v="ORD100465"/>
    <s v="CUST73528"/>
    <x v="6"/>
    <x v="465"/>
    <d v="2026-05-18T17:11:58"/>
    <n v="42.000000000698492"/>
    <n v="382.02"/>
    <x v="0"/>
    <x v="0"/>
    <x v="5"/>
    <x v="0"/>
  </r>
  <r>
    <s v="ORD100466"/>
    <s v="CUST62753"/>
    <x v="3"/>
    <x v="466"/>
    <d v="2026-05-01T22:49:37"/>
    <n v="10.000000001164153"/>
    <n v="2134.37"/>
    <x v="2"/>
    <x v="0"/>
    <x v="3"/>
    <x v="1"/>
  </r>
  <r>
    <s v="ORD100467"/>
    <s v="CUST72743"/>
    <x v="6"/>
    <x v="467"/>
    <d v="2026-05-27T03:42:09"/>
    <n v="15.999999999767169"/>
    <n v="2017.95"/>
    <x v="2"/>
    <x v="1"/>
    <x v="3"/>
    <x v="1"/>
  </r>
  <r>
    <s v="ORD100468"/>
    <s v="CUST58752"/>
    <x v="1"/>
    <x v="468"/>
    <d v="2026-05-10T18:54:37"/>
    <n v="16.999999992549419"/>
    <n v="2496.5700000000002"/>
    <x v="2"/>
    <x v="0"/>
    <x v="0"/>
    <x v="1"/>
  </r>
  <r>
    <s v="ORD100469"/>
    <s v="CUST92667"/>
    <x v="7"/>
    <x v="469"/>
    <d v="2026-05-07T03:51:49"/>
    <n v="14.99999999650754"/>
    <n v="1092.7"/>
    <x v="1"/>
    <x v="1"/>
    <x v="0"/>
    <x v="1"/>
  </r>
  <r>
    <s v="ORD100470"/>
    <s v="CUST36683"/>
    <x v="7"/>
    <x v="470"/>
    <d v="2026-05-07T10:33:34"/>
    <n v="37.999999998137355"/>
    <n v="900.1"/>
    <x v="1"/>
    <x v="2"/>
    <x v="0"/>
    <x v="0"/>
  </r>
  <r>
    <s v="ORD100471"/>
    <s v="CUST45144"/>
    <x v="5"/>
    <x v="471"/>
    <d v="2026-05-23T13:35:24"/>
    <n v="19.000000009546056"/>
    <n v="1444"/>
    <x v="1"/>
    <x v="0"/>
    <x v="3"/>
    <x v="1"/>
  </r>
  <r>
    <s v="ORD100472"/>
    <s v="CUST75108"/>
    <x v="3"/>
    <x v="472"/>
    <d v="2026-06-01T18:47:30"/>
    <n v="8.9999999979045242"/>
    <n v="1629.01"/>
    <x v="2"/>
    <x v="0"/>
    <x v="3"/>
    <x v="1"/>
  </r>
  <r>
    <s v="ORD100473"/>
    <s v="CUST69695"/>
    <x v="6"/>
    <x v="473"/>
    <d v="2026-05-03T05:37:25"/>
    <n v="20.000000002328306"/>
    <n v="126.11"/>
    <x v="0"/>
    <x v="2"/>
    <x v="3"/>
    <x v="1"/>
  </r>
  <r>
    <s v="ORD100474"/>
    <s v="CUST42810"/>
    <x v="5"/>
    <x v="474"/>
    <d v="2026-05-10T19:53:43"/>
    <n v="14.99999999650754"/>
    <n v="581.85"/>
    <x v="1"/>
    <x v="0"/>
    <x v="4"/>
    <x v="1"/>
  </r>
  <r>
    <s v="ORD100475"/>
    <s v="CUST94593"/>
    <x v="3"/>
    <x v="475"/>
    <d v="2026-05-26T01:45:56"/>
    <n v="20.000000002328306"/>
    <n v="774.9"/>
    <x v="1"/>
    <x v="1"/>
    <x v="4"/>
    <x v="1"/>
  </r>
  <r>
    <s v="ORD100476"/>
    <s v="CUST59446"/>
    <x v="7"/>
    <x v="476"/>
    <d v="2026-05-22T22:33:03"/>
    <n v="17.999999995809048"/>
    <n v="1995.47"/>
    <x v="2"/>
    <x v="0"/>
    <x v="5"/>
    <x v="1"/>
  </r>
  <r>
    <s v="ORD100477"/>
    <s v="CUST73225"/>
    <x v="1"/>
    <x v="477"/>
    <d v="2026-05-31T09:14:23"/>
    <n v="17.000000003026798"/>
    <n v="837.65"/>
    <x v="1"/>
    <x v="2"/>
    <x v="1"/>
    <x v="1"/>
  </r>
  <r>
    <s v="ORD100478"/>
    <s v="CUST91819"/>
    <x v="5"/>
    <x v="478"/>
    <d v="2026-05-02T11:01:50"/>
    <n v="8.9999999979045242"/>
    <n v="1315.06"/>
    <x v="1"/>
    <x v="2"/>
    <x v="3"/>
    <x v="1"/>
  </r>
  <r>
    <s v="ORD100479"/>
    <s v="CUST20053"/>
    <x v="6"/>
    <x v="479"/>
    <d v="2026-05-20T09:27:53"/>
    <n v="10.000000001164153"/>
    <n v="876.42"/>
    <x v="1"/>
    <x v="2"/>
    <x v="2"/>
    <x v="1"/>
  </r>
  <r>
    <s v="ORD100480"/>
    <s v="CUST59829"/>
    <x v="7"/>
    <x v="480"/>
    <d v="2026-06-01T22:59:06"/>
    <n v="15.999999999767169"/>
    <n v="113.72"/>
    <x v="0"/>
    <x v="0"/>
    <x v="5"/>
    <x v="1"/>
  </r>
  <r>
    <s v="ORD100481"/>
    <s v="CUST57606"/>
    <x v="1"/>
    <x v="481"/>
    <d v="2026-05-15T04:33:47"/>
    <n v="14.00000000372529"/>
    <n v="1745.01"/>
    <x v="2"/>
    <x v="1"/>
    <x v="5"/>
    <x v="1"/>
  </r>
  <r>
    <s v="ORD100482"/>
    <s v="CUST47549"/>
    <x v="3"/>
    <x v="482"/>
    <d v="2026-05-29T10:37:46"/>
    <n v="20.000000002328306"/>
    <n v="918.27"/>
    <x v="1"/>
    <x v="2"/>
    <x v="3"/>
    <x v="1"/>
  </r>
  <r>
    <s v="ORD100483"/>
    <s v="CUST76346"/>
    <x v="5"/>
    <x v="483"/>
    <d v="2026-05-27T19:59:05"/>
    <n v="17.999999995809048"/>
    <n v="1837.55"/>
    <x v="2"/>
    <x v="0"/>
    <x v="3"/>
    <x v="1"/>
  </r>
  <r>
    <s v="ORD100484"/>
    <s v="CUST96019"/>
    <x v="6"/>
    <x v="484"/>
    <d v="2026-05-13T14:33:58"/>
    <n v="20.000000002328306"/>
    <n v="1577.38"/>
    <x v="2"/>
    <x v="0"/>
    <x v="1"/>
    <x v="1"/>
  </r>
  <r>
    <s v="ORD100485"/>
    <s v="CUST99516"/>
    <x v="1"/>
    <x v="485"/>
    <d v="2026-05-28T00:28:48"/>
    <n v="56.999999997206032"/>
    <n v="168.88"/>
    <x v="0"/>
    <x v="0"/>
    <x v="0"/>
    <x v="0"/>
  </r>
  <r>
    <s v="ORD100486"/>
    <s v="CUST62237"/>
    <x v="3"/>
    <x v="486"/>
    <d v="2026-05-24T01:45:50"/>
    <n v="13.000000000465661"/>
    <n v="520.51"/>
    <x v="1"/>
    <x v="1"/>
    <x v="4"/>
    <x v="1"/>
  </r>
  <r>
    <s v="ORD100487"/>
    <s v="CUST80946"/>
    <x v="2"/>
    <x v="487"/>
    <d v="2026-05-11T02:34:45"/>
    <n v="14.99999999650754"/>
    <n v="892.24"/>
    <x v="1"/>
    <x v="1"/>
    <x v="0"/>
    <x v="1"/>
  </r>
  <r>
    <s v="ORD100488"/>
    <s v="CUST77905"/>
    <x v="3"/>
    <x v="488"/>
    <d v="2026-05-26T05:05:54"/>
    <n v="15.999999999767169"/>
    <n v="910.05"/>
    <x v="1"/>
    <x v="2"/>
    <x v="5"/>
    <x v="1"/>
  </r>
  <r>
    <s v="ORD100489"/>
    <s v="CUST77954"/>
    <x v="7"/>
    <x v="489"/>
    <d v="2026-05-02T06:06:56"/>
    <n v="53.999999997904524"/>
    <n v="1712.94"/>
    <x v="2"/>
    <x v="2"/>
    <x v="5"/>
    <x v="0"/>
  </r>
  <r>
    <s v="ORD100490"/>
    <s v="CUST48010"/>
    <x v="5"/>
    <x v="490"/>
    <d v="2026-05-13T01:51:02"/>
    <n v="36.000000002095476"/>
    <n v="2297.79"/>
    <x v="2"/>
    <x v="1"/>
    <x v="3"/>
    <x v="0"/>
  </r>
  <r>
    <s v="ORD100491"/>
    <s v="CUST87000"/>
    <x v="0"/>
    <x v="491"/>
    <d v="2026-05-30T02:11:23"/>
    <n v="13.000000000465661"/>
    <n v="2012.41"/>
    <x v="2"/>
    <x v="1"/>
    <x v="5"/>
    <x v="1"/>
  </r>
  <r>
    <s v="ORD100492"/>
    <s v="CUST82021"/>
    <x v="3"/>
    <x v="492"/>
    <d v="2026-05-13T08:42:52"/>
    <n v="18.999999999068677"/>
    <n v="1648.57"/>
    <x v="2"/>
    <x v="2"/>
    <x v="2"/>
    <x v="1"/>
  </r>
  <r>
    <s v="ORD100493"/>
    <s v="CUST42241"/>
    <x v="4"/>
    <x v="493"/>
    <d v="2026-05-30T16:38:40"/>
    <n v="13.000000000465661"/>
    <n v="1254.5899999999999"/>
    <x v="1"/>
    <x v="0"/>
    <x v="1"/>
    <x v="1"/>
  </r>
  <r>
    <s v="ORD100494"/>
    <s v="CUST31114"/>
    <x v="0"/>
    <x v="494"/>
    <d v="2026-05-08T21:17:15"/>
    <n v="15.999999999767169"/>
    <n v="1604.28"/>
    <x v="2"/>
    <x v="0"/>
    <x v="3"/>
    <x v="1"/>
  </r>
  <r>
    <s v="ORD100495"/>
    <s v="CUST57196"/>
    <x v="0"/>
    <x v="495"/>
    <d v="2026-05-24T15:57:28"/>
    <n v="18.999999999068677"/>
    <n v="2239.94"/>
    <x v="2"/>
    <x v="0"/>
    <x v="1"/>
    <x v="1"/>
  </r>
  <r>
    <s v="ORD100496"/>
    <s v="CUST87561"/>
    <x v="5"/>
    <x v="496"/>
    <d v="2026-05-12T15:52:35"/>
    <n v="15.000000006984919"/>
    <n v="1387.72"/>
    <x v="1"/>
    <x v="0"/>
    <x v="5"/>
    <x v="1"/>
  </r>
  <r>
    <s v="ORD100497"/>
    <s v="CUST63933"/>
    <x v="5"/>
    <x v="497"/>
    <d v="2026-05-23T11:29:53"/>
    <n v="18.999999999068677"/>
    <n v="903.26"/>
    <x v="1"/>
    <x v="2"/>
    <x v="4"/>
    <x v="1"/>
  </r>
  <r>
    <s v="ORD100498"/>
    <s v="CUST32240"/>
    <x v="6"/>
    <x v="498"/>
    <d v="2026-05-18T00:08:44"/>
    <n v="14.99999999650754"/>
    <n v="1980.57"/>
    <x v="2"/>
    <x v="0"/>
    <x v="4"/>
    <x v="1"/>
  </r>
  <r>
    <s v="ORD100499"/>
    <s v="CUST50784"/>
    <x v="7"/>
    <x v="499"/>
    <d v="2026-05-06T09:16:24"/>
    <n v="14.99999999650754"/>
    <n v="1092.49"/>
    <x v="1"/>
    <x v="2"/>
    <x v="2"/>
    <x v="1"/>
  </r>
  <r>
    <s v="ORD100500"/>
    <s v="CUST60687"/>
    <x v="6"/>
    <x v="500"/>
    <d v="2026-05-04T06:06:36"/>
    <n v="12.000000007683411"/>
    <n v="1881.2"/>
    <x v="2"/>
    <x v="2"/>
    <x v="2"/>
    <x v="1"/>
  </r>
  <r>
    <s v="ORD100501"/>
    <s v="CUST49444"/>
    <x v="2"/>
    <x v="501"/>
    <d v="2026-05-14T07:58:14"/>
    <n v="17.000000003026798"/>
    <n v="2103.25"/>
    <x v="2"/>
    <x v="2"/>
    <x v="3"/>
    <x v="1"/>
  </r>
  <r>
    <s v="ORD100502"/>
    <s v="CUST46100"/>
    <x v="3"/>
    <x v="502"/>
    <d v="2026-05-14T08:55:26"/>
    <n v="14.00000000372529"/>
    <n v="817.42"/>
    <x v="1"/>
    <x v="2"/>
    <x v="2"/>
    <x v="1"/>
  </r>
  <r>
    <s v="ORD100503"/>
    <s v="CUST39313"/>
    <x v="5"/>
    <x v="503"/>
    <d v="2026-05-02T21:18:30"/>
    <n v="17.999999995809048"/>
    <n v="1838.91"/>
    <x v="2"/>
    <x v="0"/>
    <x v="5"/>
    <x v="1"/>
  </r>
  <r>
    <s v="ORD100504"/>
    <s v="CUST23201"/>
    <x v="1"/>
    <x v="504"/>
    <d v="2026-05-09T20:31:38"/>
    <n v="20.000000002328306"/>
    <n v="856.21"/>
    <x v="1"/>
    <x v="0"/>
    <x v="3"/>
    <x v="1"/>
  </r>
  <r>
    <s v="ORD100505"/>
    <s v="CUST26057"/>
    <x v="5"/>
    <x v="505"/>
    <d v="2026-05-01T07:33:38"/>
    <n v="17.000000003026798"/>
    <n v="1385.13"/>
    <x v="1"/>
    <x v="2"/>
    <x v="4"/>
    <x v="1"/>
  </r>
  <r>
    <s v="ORD100506"/>
    <s v="CUST52092"/>
    <x v="5"/>
    <x v="506"/>
    <d v="2026-05-20T23:03:41"/>
    <n v="17.999999995809048"/>
    <n v="598.83000000000004"/>
    <x v="1"/>
    <x v="0"/>
    <x v="0"/>
    <x v="1"/>
  </r>
  <r>
    <s v="ORD100507"/>
    <s v="CUST82277"/>
    <x v="5"/>
    <x v="507"/>
    <d v="2026-05-18T14:05:24"/>
    <n v="7.9999999946448952"/>
    <n v="1744.18"/>
    <x v="2"/>
    <x v="0"/>
    <x v="1"/>
    <x v="1"/>
  </r>
  <r>
    <s v="ORD100508"/>
    <s v="CUST29545"/>
    <x v="5"/>
    <x v="508"/>
    <d v="2026-05-23T14:27:13"/>
    <n v="10.999999993946403"/>
    <n v="2017.88"/>
    <x v="2"/>
    <x v="0"/>
    <x v="1"/>
    <x v="1"/>
  </r>
  <r>
    <s v="ORD100509"/>
    <s v="CUST79692"/>
    <x v="4"/>
    <x v="509"/>
    <d v="2026-05-30T09:54:33"/>
    <n v="11.000000004423782"/>
    <n v="2230.27"/>
    <x v="2"/>
    <x v="2"/>
    <x v="5"/>
    <x v="1"/>
  </r>
  <r>
    <s v="ORD100510"/>
    <s v="CUST74321"/>
    <x v="2"/>
    <x v="510"/>
    <d v="2026-05-26T18:17:00"/>
    <n v="11.000000004423782"/>
    <n v="947.63"/>
    <x v="1"/>
    <x v="0"/>
    <x v="0"/>
    <x v="1"/>
  </r>
  <r>
    <s v="ORD100511"/>
    <s v="CUST95454"/>
    <x v="1"/>
    <x v="511"/>
    <d v="2026-05-24T18:34:38"/>
    <n v="52.999999994644895"/>
    <n v="2426.0700000000002"/>
    <x v="2"/>
    <x v="0"/>
    <x v="0"/>
    <x v="0"/>
  </r>
  <r>
    <s v="ORD100512"/>
    <s v="CUST45485"/>
    <x v="3"/>
    <x v="512"/>
    <d v="2026-05-19T09:54:06"/>
    <n v="11.000000004423782"/>
    <n v="772.1"/>
    <x v="1"/>
    <x v="2"/>
    <x v="5"/>
    <x v="1"/>
  </r>
  <r>
    <s v="ORD100513"/>
    <s v="CUST70328"/>
    <x v="0"/>
    <x v="513"/>
    <d v="2026-05-31T02:35:17"/>
    <n v="13.999999993247911"/>
    <n v="173.82"/>
    <x v="0"/>
    <x v="1"/>
    <x v="2"/>
    <x v="1"/>
  </r>
  <r>
    <s v="ORD100514"/>
    <s v="CUST84799"/>
    <x v="4"/>
    <x v="514"/>
    <d v="2026-05-21T08:27:41"/>
    <n v="11.000000004423782"/>
    <n v="2459.69"/>
    <x v="2"/>
    <x v="2"/>
    <x v="5"/>
    <x v="1"/>
  </r>
  <r>
    <s v="ORD100515"/>
    <s v="CUST72383"/>
    <x v="7"/>
    <x v="515"/>
    <d v="2026-05-20T06:21:33"/>
    <n v="11.999999997206032"/>
    <n v="1602.63"/>
    <x v="2"/>
    <x v="2"/>
    <x v="1"/>
    <x v="1"/>
  </r>
  <r>
    <s v="ORD100516"/>
    <s v="CUST51979"/>
    <x v="4"/>
    <x v="516"/>
    <d v="2026-05-16T02:05:54"/>
    <n v="14.00000000372529"/>
    <n v="2120.77"/>
    <x v="2"/>
    <x v="1"/>
    <x v="0"/>
    <x v="1"/>
  </r>
  <r>
    <s v="ORD100517"/>
    <s v="CUST39342"/>
    <x v="0"/>
    <x v="517"/>
    <d v="2026-05-26T21:34:43"/>
    <n v="13.999999993247911"/>
    <n v="1469.36"/>
    <x v="1"/>
    <x v="0"/>
    <x v="3"/>
    <x v="1"/>
  </r>
  <r>
    <s v="ORD100518"/>
    <s v="CUST20726"/>
    <x v="0"/>
    <x v="518"/>
    <m/>
    <s v=" "/>
    <n v="1033.96"/>
    <x v="1"/>
    <x v="0"/>
    <x v="1"/>
    <x v="2"/>
  </r>
  <r>
    <s v="ORD100519"/>
    <s v="CUST33970"/>
    <x v="7"/>
    <x v="519"/>
    <d v="2026-06-01T09:51:58"/>
    <n v="35.000000009313226"/>
    <n v="1527.46"/>
    <x v="2"/>
    <x v="2"/>
    <x v="0"/>
    <x v="0"/>
  </r>
  <r>
    <s v="ORD100520"/>
    <s v="CUST75724"/>
    <x v="4"/>
    <x v="520"/>
    <d v="2026-05-27T12:37:47"/>
    <n v="13.000000000465661"/>
    <n v="2174.02"/>
    <x v="2"/>
    <x v="0"/>
    <x v="2"/>
    <x v="1"/>
  </r>
  <r>
    <s v="ORD100521"/>
    <s v="CUST48683"/>
    <x v="0"/>
    <x v="521"/>
    <d v="2026-05-03T18:57:36"/>
    <n v="11.999999997206032"/>
    <n v="1902.7"/>
    <x v="2"/>
    <x v="0"/>
    <x v="5"/>
    <x v="1"/>
  </r>
  <r>
    <s v="ORD100522"/>
    <s v="CUST43053"/>
    <x v="3"/>
    <x v="522"/>
    <d v="2026-05-13T11:02:45"/>
    <n v="15.999999999767169"/>
    <n v="1791.64"/>
    <x v="2"/>
    <x v="2"/>
    <x v="0"/>
    <x v="1"/>
  </r>
  <r>
    <s v="ORD100523"/>
    <s v="CUST87889"/>
    <x v="4"/>
    <x v="523"/>
    <d v="2026-05-15T21:43:40"/>
    <n v="8.9999999979045242"/>
    <n v="853.8"/>
    <x v="1"/>
    <x v="0"/>
    <x v="4"/>
    <x v="1"/>
  </r>
  <r>
    <s v="ORD100524"/>
    <s v="CUST80889"/>
    <x v="4"/>
    <x v="524"/>
    <d v="2026-05-31T21:55:32"/>
    <n v="33.000000002793968"/>
    <n v="174.91"/>
    <x v="0"/>
    <x v="0"/>
    <x v="0"/>
    <x v="0"/>
  </r>
  <r>
    <s v="ORD100525"/>
    <s v="CUST26582"/>
    <x v="7"/>
    <x v="525"/>
    <d v="2026-05-20T06:13:42"/>
    <n v="19.999999991850927"/>
    <n v="1092.29"/>
    <x v="1"/>
    <x v="2"/>
    <x v="2"/>
    <x v="1"/>
  </r>
  <r>
    <s v="ORD100526"/>
    <s v="CUST93060"/>
    <x v="1"/>
    <x v="526"/>
    <d v="2026-05-12T09:15:30"/>
    <n v="8.9999999979045242"/>
    <n v="1291.93"/>
    <x v="1"/>
    <x v="2"/>
    <x v="4"/>
    <x v="1"/>
  </r>
  <r>
    <s v="ORD100527"/>
    <s v="CUST52662"/>
    <x v="1"/>
    <x v="527"/>
    <d v="2026-05-09T23:28:46"/>
    <n v="11.999999997206032"/>
    <n v="669.34"/>
    <x v="1"/>
    <x v="0"/>
    <x v="3"/>
    <x v="1"/>
  </r>
  <r>
    <s v="ORD100528"/>
    <s v="CUST35906"/>
    <x v="5"/>
    <x v="528"/>
    <d v="2026-05-12T22:12:21"/>
    <n v="15.000000006984919"/>
    <n v="1183.58"/>
    <x v="1"/>
    <x v="0"/>
    <x v="0"/>
    <x v="1"/>
  </r>
  <r>
    <s v="ORD100529"/>
    <s v="CUST79829"/>
    <x v="0"/>
    <x v="529"/>
    <d v="2026-05-06T07:38:14"/>
    <n v="15.999999999767169"/>
    <n v="2380.7399999999998"/>
    <x v="2"/>
    <x v="2"/>
    <x v="1"/>
    <x v="1"/>
  </r>
  <r>
    <s v="ORD100530"/>
    <s v="CUST37477"/>
    <x v="5"/>
    <x v="530"/>
    <d v="2026-05-20T14:03:56"/>
    <n v="13.000000000465661"/>
    <n v="617.74"/>
    <x v="1"/>
    <x v="0"/>
    <x v="4"/>
    <x v="1"/>
  </r>
  <r>
    <s v="ORD100531"/>
    <s v="CUST80901"/>
    <x v="7"/>
    <x v="531"/>
    <d v="2026-05-22T11:27:37"/>
    <n v="11.000000004423782"/>
    <n v="824.56"/>
    <x v="1"/>
    <x v="2"/>
    <x v="5"/>
    <x v="1"/>
  </r>
  <r>
    <s v="ORD100532"/>
    <s v="CUST89616"/>
    <x v="2"/>
    <x v="532"/>
    <d v="2026-05-19T15:21:07"/>
    <n v="27.000000004190952"/>
    <n v="368.36"/>
    <x v="0"/>
    <x v="0"/>
    <x v="4"/>
    <x v="0"/>
  </r>
  <r>
    <s v="ORD100533"/>
    <s v="CUST93259"/>
    <x v="4"/>
    <x v="533"/>
    <m/>
    <s v=" "/>
    <n v="1982.87"/>
    <x v="2"/>
    <x v="0"/>
    <x v="2"/>
    <x v="2"/>
  </r>
  <r>
    <s v="ORD100534"/>
    <s v="CUST98047"/>
    <x v="3"/>
    <x v="534"/>
    <d v="2026-05-05T16:11:12"/>
    <n v="14.99999999650754"/>
    <n v="1965.7"/>
    <x v="2"/>
    <x v="0"/>
    <x v="1"/>
    <x v="1"/>
  </r>
  <r>
    <s v="ORD100535"/>
    <s v="CUST61588"/>
    <x v="6"/>
    <x v="535"/>
    <d v="2026-05-08T21:40:33"/>
    <n v="15.999999999767169"/>
    <n v="2291.0500000000002"/>
    <x v="2"/>
    <x v="0"/>
    <x v="3"/>
    <x v="1"/>
  </r>
  <r>
    <s v="ORD100536"/>
    <s v="CUST78008"/>
    <x v="6"/>
    <x v="536"/>
    <d v="2026-05-20T13:20:55"/>
    <n v="17.000000003026798"/>
    <n v="1164.06"/>
    <x v="1"/>
    <x v="0"/>
    <x v="2"/>
    <x v="1"/>
  </r>
  <r>
    <s v="ORD100537"/>
    <s v="CUST86162"/>
    <x v="7"/>
    <x v="537"/>
    <m/>
    <s v=" "/>
    <n v="158.84"/>
    <x v="0"/>
    <x v="0"/>
    <x v="5"/>
    <x v="2"/>
  </r>
  <r>
    <s v="ORD100538"/>
    <s v="CUST75933"/>
    <x v="6"/>
    <x v="538"/>
    <d v="2026-05-27T19:10:58"/>
    <n v="13.000000000465661"/>
    <n v="1257.3900000000001"/>
    <x v="1"/>
    <x v="0"/>
    <x v="4"/>
    <x v="1"/>
  </r>
  <r>
    <s v="ORD100539"/>
    <s v="CUST91810"/>
    <x v="5"/>
    <x v="539"/>
    <d v="2026-05-30T04:34:55"/>
    <n v="13.999999993247911"/>
    <n v="1299.1300000000001"/>
    <x v="1"/>
    <x v="1"/>
    <x v="5"/>
    <x v="1"/>
  </r>
  <r>
    <s v="ORD100540"/>
    <s v="CUST78446"/>
    <x v="7"/>
    <x v="540"/>
    <d v="2026-05-12T02:46:21"/>
    <n v="15.000000006984919"/>
    <n v="555.51"/>
    <x v="1"/>
    <x v="1"/>
    <x v="4"/>
    <x v="1"/>
  </r>
  <r>
    <s v="ORD100541"/>
    <s v="CUST40861"/>
    <x v="4"/>
    <x v="541"/>
    <d v="2026-05-12T10:55:03"/>
    <n v="14.99999999650754"/>
    <n v="2315.73"/>
    <x v="2"/>
    <x v="2"/>
    <x v="1"/>
    <x v="1"/>
  </r>
  <r>
    <s v="ORD100542"/>
    <s v="CUST82216"/>
    <x v="5"/>
    <x v="542"/>
    <d v="2026-05-01T14:31:13"/>
    <n v="13.999999993247911"/>
    <n v="1856.86"/>
    <x v="2"/>
    <x v="0"/>
    <x v="0"/>
    <x v="1"/>
  </r>
  <r>
    <s v="ORD100543"/>
    <s v="CUST78991"/>
    <x v="1"/>
    <x v="543"/>
    <d v="2026-05-11T19:02:10"/>
    <n v="14.00000000372529"/>
    <n v="1355.71"/>
    <x v="1"/>
    <x v="0"/>
    <x v="3"/>
    <x v="1"/>
  </r>
  <r>
    <s v="ORD100544"/>
    <s v="CUST53972"/>
    <x v="6"/>
    <x v="544"/>
    <d v="2026-06-01T02:21:39"/>
    <n v="13.000000000465661"/>
    <n v="1960.28"/>
    <x v="2"/>
    <x v="1"/>
    <x v="1"/>
    <x v="1"/>
  </r>
  <r>
    <s v="ORD100545"/>
    <s v="CUST52406"/>
    <x v="0"/>
    <x v="545"/>
    <d v="2026-05-28T20:47:25"/>
    <n v="20.000000002328306"/>
    <n v="442.91"/>
    <x v="0"/>
    <x v="0"/>
    <x v="1"/>
    <x v="1"/>
  </r>
  <r>
    <s v="ORD100546"/>
    <s v="CUST56347"/>
    <x v="4"/>
    <x v="546"/>
    <d v="2026-05-28T15:39:00"/>
    <n v="14.99999999650754"/>
    <n v="2191.3200000000002"/>
    <x v="2"/>
    <x v="0"/>
    <x v="3"/>
    <x v="1"/>
  </r>
  <r>
    <s v="ORD100547"/>
    <s v="CUST88327"/>
    <x v="3"/>
    <x v="547"/>
    <m/>
    <s v=" "/>
    <n v="2072.13"/>
    <x v="2"/>
    <x v="0"/>
    <x v="5"/>
    <x v="2"/>
  </r>
  <r>
    <s v="ORD100548"/>
    <s v="CUST83517"/>
    <x v="2"/>
    <x v="548"/>
    <d v="2026-05-24T01:42:20"/>
    <n v="45"/>
    <n v="2350.2600000000002"/>
    <x v="2"/>
    <x v="1"/>
    <x v="3"/>
    <x v="0"/>
  </r>
  <r>
    <s v="ORD100549"/>
    <s v="CUST51358"/>
    <x v="1"/>
    <x v="549"/>
    <d v="2026-05-13T00:55:00"/>
    <n v="11.999999997206032"/>
    <n v="1723.12"/>
    <x v="2"/>
    <x v="0"/>
    <x v="4"/>
    <x v="1"/>
  </r>
  <r>
    <s v="ORD100550"/>
    <s v="CUST55992"/>
    <x v="2"/>
    <x v="550"/>
    <d v="2026-05-16T07:58:56"/>
    <n v="13.999999993247911"/>
    <n v="417.52"/>
    <x v="0"/>
    <x v="2"/>
    <x v="4"/>
    <x v="1"/>
  </r>
  <r>
    <s v="ORD100551"/>
    <s v="CUST77654"/>
    <x v="1"/>
    <x v="551"/>
    <d v="2026-05-23T09:16:06"/>
    <n v="8.0000000051222742"/>
    <n v="1837.97"/>
    <x v="2"/>
    <x v="2"/>
    <x v="1"/>
    <x v="1"/>
  </r>
  <r>
    <s v="ORD100552"/>
    <s v="CUST30155"/>
    <x v="3"/>
    <x v="552"/>
    <d v="2026-05-25T16:47:19"/>
    <n v="10.000000001164153"/>
    <n v="1201.48"/>
    <x v="1"/>
    <x v="0"/>
    <x v="2"/>
    <x v="1"/>
  </r>
  <r>
    <s v="ORD100553"/>
    <s v="CUST57450"/>
    <x v="0"/>
    <x v="553"/>
    <d v="2026-05-11T03:07:02"/>
    <n v="14.99999999650754"/>
    <n v="1811.83"/>
    <x v="2"/>
    <x v="1"/>
    <x v="0"/>
    <x v="1"/>
  </r>
  <r>
    <s v="ORD100554"/>
    <s v="CUST50735"/>
    <x v="1"/>
    <x v="554"/>
    <d v="2026-05-20T09:40:46"/>
    <n v="10.999999993946403"/>
    <n v="1352.63"/>
    <x v="1"/>
    <x v="2"/>
    <x v="0"/>
    <x v="1"/>
  </r>
  <r>
    <s v="ORD100555"/>
    <s v="CUST55614"/>
    <x v="6"/>
    <x v="555"/>
    <d v="2026-05-22T14:08:43"/>
    <n v="11.999999997206032"/>
    <n v="108.86"/>
    <x v="0"/>
    <x v="0"/>
    <x v="4"/>
    <x v="1"/>
  </r>
  <r>
    <s v="ORD100556"/>
    <s v="CUST64020"/>
    <x v="3"/>
    <x v="556"/>
    <d v="2026-05-09T11:15:31"/>
    <n v="17.999999995809048"/>
    <n v="2336.61"/>
    <x v="2"/>
    <x v="2"/>
    <x v="1"/>
    <x v="1"/>
  </r>
  <r>
    <s v="ORD100557"/>
    <s v="CUST61904"/>
    <x v="0"/>
    <x v="557"/>
    <d v="2026-05-23T06:19:58"/>
    <n v="9.0000000083819032"/>
    <n v="1747.93"/>
    <x v="2"/>
    <x v="2"/>
    <x v="2"/>
    <x v="1"/>
  </r>
  <r>
    <s v="ORD100558"/>
    <s v="CUST90798"/>
    <x v="2"/>
    <x v="558"/>
    <d v="2026-05-26T00:27:14"/>
    <n v="13.000000000465661"/>
    <n v="1525.29"/>
    <x v="2"/>
    <x v="0"/>
    <x v="3"/>
    <x v="1"/>
  </r>
  <r>
    <s v="ORD100559"/>
    <s v="CUST30561"/>
    <x v="3"/>
    <x v="559"/>
    <d v="2026-05-09T06:55:01"/>
    <n v="9.0000000083819032"/>
    <n v="307.98"/>
    <x v="0"/>
    <x v="2"/>
    <x v="2"/>
    <x v="1"/>
  </r>
  <r>
    <s v="ORD100560"/>
    <s v="CUST38136"/>
    <x v="6"/>
    <x v="560"/>
    <d v="2026-05-11T03:35:45"/>
    <n v="11.999999997206032"/>
    <n v="1219.5"/>
    <x v="1"/>
    <x v="1"/>
    <x v="5"/>
    <x v="1"/>
  </r>
  <r>
    <s v="ORD100561"/>
    <s v="CUST39769"/>
    <x v="3"/>
    <x v="561"/>
    <d v="2026-05-03T13:12:40"/>
    <n v="15.999999999767169"/>
    <n v="209.74"/>
    <x v="0"/>
    <x v="0"/>
    <x v="1"/>
    <x v="1"/>
  </r>
  <r>
    <s v="ORD100562"/>
    <s v="CUST50311"/>
    <x v="5"/>
    <x v="562"/>
    <d v="2026-05-17T17:55:03"/>
    <n v="15.999999999767169"/>
    <n v="1348.39"/>
    <x v="1"/>
    <x v="0"/>
    <x v="1"/>
    <x v="1"/>
  </r>
  <r>
    <s v="ORD100563"/>
    <s v="CUST70205"/>
    <x v="5"/>
    <x v="563"/>
    <m/>
    <s v=" "/>
    <n v="1680.56"/>
    <x v="2"/>
    <x v="0"/>
    <x v="1"/>
    <x v="2"/>
  </r>
  <r>
    <s v="ORD100564"/>
    <s v="CUST40028"/>
    <x v="2"/>
    <x v="564"/>
    <d v="2026-05-02T02:00:07"/>
    <n v="15.999999999767169"/>
    <n v="848.95"/>
    <x v="1"/>
    <x v="1"/>
    <x v="4"/>
    <x v="1"/>
  </r>
  <r>
    <s v="ORD100565"/>
    <s v="CUST48043"/>
    <x v="7"/>
    <x v="565"/>
    <d v="2026-05-27T14:54:07"/>
    <n v="29.999999993015081"/>
    <n v="1485.14"/>
    <x v="1"/>
    <x v="0"/>
    <x v="0"/>
    <x v="0"/>
  </r>
  <r>
    <s v="ORD100566"/>
    <s v="CUST28418"/>
    <x v="4"/>
    <x v="566"/>
    <d v="2026-05-17T16:04:09"/>
    <n v="20.000000002328306"/>
    <n v="848.14"/>
    <x v="1"/>
    <x v="0"/>
    <x v="5"/>
    <x v="1"/>
  </r>
  <r>
    <s v="ORD100567"/>
    <s v="CUST74377"/>
    <x v="5"/>
    <x v="567"/>
    <d v="2026-05-14T22:55:40"/>
    <n v="11.999999997206032"/>
    <n v="2240.13"/>
    <x v="2"/>
    <x v="0"/>
    <x v="2"/>
    <x v="1"/>
  </r>
  <r>
    <s v="ORD100568"/>
    <s v="CUST73424"/>
    <x v="4"/>
    <x v="568"/>
    <d v="2026-05-01T09:37:42"/>
    <n v="11.000000004423782"/>
    <n v="869.11"/>
    <x v="1"/>
    <x v="2"/>
    <x v="3"/>
    <x v="1"/>
  </r>
  <r>
    <s v="ORD100569"/>
    <s v="CUST63369"/>
    <x v="4"/>
    <x v="569"/>
    <d v="2026-05-07T22:04:17"/>
    <n v="31.000000006752089"/>
    <n v="561.11"/>
    <x v="1"/>
    <x v="0"/>
    <x v="0"/>
    <x v="0"/>
  </r>
  <r>
    <s v="ORD100570"/>
    <s v="CUST91121"/>
    <x v="2"/>
    <x v="570"/>
    <d v="2026-05-09T14:02:57"/>
    <n v="8.9999999979045242"/>
    <n v="762.96"/>
    <x v="1"/>
    <x v="0"/>
    <x v="2"/>
    <x v="1"/>
  </r>
  <r>
    <s v="ORD100571"/>
    <s v="CUST81069"/>
    <x v="6"/>
    <x v="571"/>
    <d v="2026-05-07T16:55:39"/>
    <n v="8.9999999979045242"/>
    <n v="864.96"/>
    <x v="1"/>
    <x v="0"/>
    <x v="5"/>
    <x v="1"/>
  </r>
  <r>
    <s v="ORD100572"/>
    <s v="CUST74496"/>
    <x v="2"/>
    <x v="572"/>
    <d v="2026-05-08T09:20:50"/>
    <n v="13.000000000465661"/>
    <n v="1157.68"/>
    <x v="1"/>
    <x v="2"/>
    <x v="2"/>
    <x v="1"/>
  </r>
  <r>
    <s v="ORD100573"/>
    <s v="CUST28161"/>
    <x v="7"/>
    <x v="573"/>
    <d v="2026-05-07T15:20:38"/>
    <n v="8.0000000051222742"/>
    <n v="381.36"/>
    <x v="0"/>
    <x v="0"/>
    <x v="5"/>
    <x v="1"/>
  </r>
  <r>
    <s v="ORD100574"/>
    <s v="CUST47110"/>
    <x v="0"/>
    <x v="574"/>
    <m/>
    <s v=" "/>
    <n v="457.37"/>
    <x v="0"/>
    <x v="0"/>
    <x v="4"/>
    <x v="2"/>
  </r>
  <r>
    <s v="ORD100575"/>
    <s v="CUST75069"/>
    <x v="5"/>
    <x v="575"/>
    <d v="2026-05-13T12:44:26"/>
    <n v="59.00000000372529"/>
    <n v="755.73"/>
    <x v="1"/>
    <x v="0"/>
    <x v="5"/>
    <x v="0"/>
  </r>
  <r>
    <s v="ORD100576"/>
    <s v="CUST71049"/>
    <x v="1"/>
    <x v="576"/>
    <d v="2026-05-19T05:13:35"/>
    <n v="11.000000004423782"/>
    <n v="135.62"/>
    <x v="0"/>
    <x v="2"/>
    <x v="5"/>
    <x v="1"/>
  </r>
  <r>
    <s v="ORD100577"/>
    <s v="CUST96556"/>
    <x v="6"/>
    <x v="577"/>
    <d v="2026-06-01T06:57:59"/>
    <n v="13.000000000465661"/>
    <n v="1594.07"/>
    <x v="2"/>
    <x v="2"/>
    <x v="5"/>
    <x v="1"/>
  </r>
  <r>
    <s v="ORD100578"/>
    <s v="CUST22560"/>
    <x v="7"/>
    <x v="578"/>
    <d v="2026-05-31T10:26:00"/>
    <n v="10.999999993946403"/>
    <n v="1332.75"/>
    <x v="1"/>
    <x v="2"/>
    <x v="5"/>
    <x v="1"/>
  </r>
  <r>
    <s v="ORD100579"/>
    <s v="CUST95456"/>
    <x v="0"/>
    <x v="579"/>
    <d v="2026-05-01T21:23:58"/>
    <n v="17.999999995809048"/>
    <n v="594.79"/>
    <x v="1"/>
    <x v="0"/>
    <x v="2"/>
    <x v="1"/>
  </r>
  <r>
    <s v="ORD100580"/>
    <s v="CUST69857"/>
    <x v="7"/>
    <x v="580"/>
    <d v="2026-05-08T18:55:31"/>
    <n v="13.000000000465661"/>
    <n v="939.76"/>
    <x v="1"/>
    <x v="0"/>
    <x v="1"/>
    <x v="1"/>
  </r>
  <r>
    <s v="ORD100581"/>
    <s v="CUST82518"/>
    <x v="6"/>
    <x v="581"/>
    <d v="2026-05-10T03:01:32"/>
    <n v="11.999999997206032"/>
    <n v="863.36"/>
    <x v="1"/>
    <x v="1"/>
    <x v="4"/>
    <x v="1"/>
  </r>
  <r>
    <s v="ORD100582"/>
    <s v="CUST20772"/>
    <x v="2"/>
    <x v="582"/>
    <d v="2026-05-05T23:58:06"/>
    <n v="11.999999997206032"/>
    <n v="438.74"/>
    <x v="0"/>
    <x v="0"/>
    <x v="3"/>
    <x v="1"/>
  </r>
  <r>
    <s v="ORD100583"/>
    <s v="CUST66105"/>
    <x v="0"/>
    <x v="583"/>
    <d v="2026-05-17T20:33:29"/>
    <n v="18.999999999068677"/>
    <n v="1789.45"/>
    <x v="2"/>
    <x v="0"/>
    <x v="0"/>
    <x v="1"/>
  </r>
  <r>
    <s v="ORD100584"/>
    <s v="CUST59139"/>
    <x v="1"/>
    <x v="584"/>
    <d v="2026-05-19T08:49:03"/>
    <n v="19.999999991850927"/>
    <n v="778.84"/>
    <x v="1"/>
    <x v="2"/>
    <x v="2"/>
    <x v="1"/>
  </r>
  <r>
    <s v="ORD100585"/>
    <s v="CUST71116"/>
    <x v="4"/>
    <x v="585"/>
    <d v="2026-05-07T06:37:02"/>
    <n v="42.000000000698492"/>
    <n v="686.58"/>
    <x v="1"/>
    <x v="2"/>
    <x v="0"/>
    <x v="0"/>
  </r>
  <r>
    <s v="ORD100586"/>
    <s v="CUST74921"/>
    <x v="6"/>
    <x v="586"/>
    <d v="2026-05-19T12:02:43"/>
    <n v="10.999999993946403"/>
    <n v="269.98"/>
    <x v="0"/>
    <x v="0"/>
    <x v="2"/>
    <x v="1"/>
  </r>
  <r>
    <s v="ORD100587"/>
    <s v="CUST90545"/>
    <x v="6"/>
    <x v="587"/>
    <d v="2026-05-21T14:06:07"/>
    <n v="18.999999999068677"/>
    <n v="1570.83"/>
    <x v="2"/>
    <x v="0"/>
    <x v="2"/>
    <x v="1"/>
  </r>
  <r>
    <s v="ORD100588"/>
    <s v="CUST91582"/>
    <x v="4"/>
    <x v="588"/>
    <d v="2026-05-07T01:17:54"/>
    <n v="17.000000003026798"/>
    <n v="911.97"/>
    <x v="1"/>
    <x v="1"/>
    <x v="5"/>
    <x v="1"/>
  </r>
  <r>
    <s v="ORD100589"/>
    <s v="CUST99069"/>
    <x v="2"/>
    <x v="589"/>
    <d v="2026-05-09T21:51:10"/>
    <n v="9.9999999906867743"/>
    <n v="1163.75"/>
    <x v="1"/>
    <x v="0"/>
    <x v="3"/>
    <x v="1"/>
  </r>
  <r>
    <s v="ORD100590"/>
    <s v="CUST48906"/>
    <x v="0"/>
    <x v="590"/>
    <d v="2026-05-22T12:17:28"/>
    <n v="19.999999991850927"/>
    <n v="411.18"/>
    <x v="0"/>
    <x v="0"/>
    <x v="0"/>
    <x v="1"/>
  </r>
  <r>
    <s v="ORD100591"/>
    <s v="CUST83993"/>
    <x v="5"/>
    <x v="591"/>
    <d v="2026-05-18T23:24:23"/>
    <n v="18.999999999068677"/>
    <n v="1228.77"/>
    <x v="1"/>
    <x v="0"/>
    <x v="2"/>
    <x v="1"/>
  </r>
  <r>
    <s v="ORD100592"/>
    <s v="CUST48760"/>
    <x v="7"/>
    <x v="592"/>
    <d v="2026-05-22T06:06:25"/>
    <n v="59.00000000372529"/>
    <n v="1720.19"/>
    <x v="2"/>
    <x v="2"/>
    <x v="0"/>
    <x v="0"/>
  </r>
  <r>
    <s v="ORD100593"/>
    <s v="CUST55774"/>
    <x v="1"/>
    <x v="593"/>
    <d v="2026-05-26T14:29:53"/>
    <n v="11.999999997206032"/>
    <n v="353.22"/>
    <x v="0"/>
    <x v="0"/>
    <x v="2"/>
    <x v="1"/>
  </r>
  <r>
    <s v="ORD100594"/>
    <s v="CUST77125"/>
    <x v="2"/>
    <x v="594"/>
    <d v="2026-05-25T23:02:30"/>
    <n v="8.0000000051222742"/>
    <n v="228.12"/>
    <x v="0"/>
    <x v="0"/>
    <x v="3"/>
    <x v="1"/>
  </r>
  <r>
    <s v="ORD100595"/>
    <s v="CUST83654"/>
    <x v="3"/>
    <x v="595"/>
    <d v="2026-05-27T21:16:51"/>
    <n v="20.000000002328306"/>
    <n v="1122.52"/>
    <x v="1"/>
    <x v="0"/>
    <x v="1"/>
    <x v="1"/>
  </r>
  <r>
    <s v="ORD100596"/>
    <s v="CUST23804"/>
    <x v="0"/>
    <x v="596"/>
    <m/>
    <s v=" "/>
    <n v="528.55999999999995"/>
    <x v="1"/>
    <x v="0"/>
    <x v="1"/>
    <x v="2"/>
  </r>
  <r>
    <s v="ORD100597"/>
    <s v="CUST70968"/>
    <x v="1"/>
    <x v="597"/>
    <d v="2026-05-04T05:18:26"/>
    <n v="11.999999997206032"/>
    <n v="1529.69"/>
    <x v="2"/>
    <x v="2"/>
    <x v="4"/>
    <x v="1"/>
  </r>
  <r>
    <s v="ORD100598"/>
    <s v="CUST64057"/>
    <x v="5"/>
    <x v="598"/>
    <d v="2026-05-31T18:55:28"/>
    <n v="11.999999997206032"/>
    <n v="1521.61"/>
    <x v="2"/>
    <x v="0"/>
    <x v="3"/>
    <x v="1"/>
  </r>
  <r>
    <s v="ORD100599"/>
    <s v="CUST72994"/>
    <x v="6"/>
    <x v="599"/>
    <d v="2026-05-12T19:37:49"/>
    <n v="13.000000000465661"/>
    <n v="2105.8200000000002"/>
    <x v="2"/>
    <x v="0"/>
    <x v="3"/>
    <x v="1"/>
  </r>
  <r>
    <s v="ORD100600"/>
    <s v="CUST41632"/>
    <x v="3"/>
    <x v="600"/>
    <d v="2026-05-23T19:21:55"/>
    <n v="19.999999991850927"/>
    <n v="1777.48"/>
    <x v="2"/>
    <x v="0"/>
    <x v="5"/>
    <x v="1"/>
  </r>
  <r>
    <s v="ORD100601"/>
    <s v="CUST81261"/>
    <x v="6"/>
    <x v="601"/>
    <d v="2026-05-09T16:12:31"/>
    <n v="14.00000000372529"/>
    <n v="1578.16"/>
    <x v="2"/>
    <x v="0"/>
    <x v="2"/>
    <x v="1"/>
  </r>
  <r>
    <s v="ORD100602"/>
    <s v="CUST36728"/>
    <x v="2"/>
    <x v="602"/>
    <d v="2026-05-08T13:42:02"/>
    <n v="14.00000000372529"/>
    <n v="848.86"/>
    <x v="1"/>
    <x v="0"/>
    <x v="1"/>
    <x v="1"/>
  </r>
  <r>
    <s v="ORD100603"/>
    <s v="CUST90008"/>
    <x v="1"/>
    <x v="603"/>
    <d v="2026-05-05T08:58:20"/>
    <n v="17.000000003026798"/>
    <n v="2060.86"/>
    <x v="2"/>
    <x v="2"/>
    <x v="5"/>
    <x v="1"/>
  </r>
  <r>
    <s v="ORD100604"/>
    <s v="CUST23534"/>
    <x v="4"/>
    <x v="604"/>
    <d v="2026-05-01T23:15:43"/>
    <n v="20.000000002328306"/>
    <n v="1809.96"/>
    <x v="2"/>
    <x v="0"/>
    <x v="4"/>
    <x v="1"/>
  </r>
  <r>
    <s v="ORD100605"/>
    <s v="CUST71645"/>
    <x v="2"/>
    <x v="605"/>
    <d v="2026-05-15T22:20:21"/>
    <n v="24.999999997671694"/>
    <n v="1709.09"/>
    <x v="2"/>
    <x v="0"/>
    <x v="1"/>
    <x v="0"/>
  </r>
  <r>
    <s v="ORD100606"/>
    <s v="CUST97580"/>
    <x v="1"/>
    <x v="606"/>
    <d v="2026-05-07T13:57:46"/>
    <n v="14.99999999650754"/>
    <n v="1379.36"/>
    <x v="1"/>
    <x v="0"/>
    <x v="2"/>
    <x v="1"/>
  </r>
  <r>
    <s v="ORD100607"/>
    <s v="CUST93975"/>
    <x v="3"/>
    <x v="607"/>
    <d v="2026-05-16T15:40:42"/>
    <n v="17.999999995809048"/>
    <n v="2435.84"/>
    <x v="2"/>
    <x v="0"/>
    <x v="4"/>
    <x v="1"/>
  </r>
  <r>
    <s v="ORD100608"/>
    <s v="CUST23552"/>
    <x v="7"/>
    <x v="608"/>
    <d v="2026-05-25T05:50:52"/>
    <n v="56.999999997206032"/>
    <n v="1912.78"/>
    <x v="2"/>
    <x v="2"/>
    <x v="4"/>
    <x v="0"/>
  </r>
  <r>
    <s v="ORD100609"/>
    <s v="CUST31003"/>
    <x v="2"/>
    <x v="609"/>
    <d v="2026-05-04T01:01:59"/>
    <n v="20.000000002328306"/>
    <n v="1216.67"/>
    <x v="1"/>
    <x v="1"/>
    <x v="2"/>
    <x v="1"/>
  </r>
  <r>
    <s v="ORD100610"/>
    <s v="CUST76179"/>
    <x v="3"/>
    <x v="610"/>
    <d v="2026-05-11T17:04:30"/>
    <n v="10.000000001164153"/>
    <n v="415.31"/>
    <x v="0"/>
    <x v="0"/>
    <x v="0"/>
    <x v="1"/>
  </r>
  <r>
    <s v="ORD100611"/>
    <s v="CUST37786"/>
    <x v="6"/>
    <x v="611"/>
    <d v="2026-06-01T05:18:48"/>
    <n v="13.999999993247911"/>
    <n v="2049.84"/>
    <x v="2"/>
    <x v="2"/>
    <x v="5"/>
    <x v="1"/>
  </r>
  <r>
    <s v="ORD100612"/>
    <s v="CUST80515"/>
    <x v="3"/>
    <x v="612"/>
    <d v="2026-06-01T10:26:21"/>
    <n v="10.999999993946403"/>
    <n v="2306.25"/>
    <x v="2"/>
    <x v="2"/>
    <x v="2"/>
    <x v="1"/>
  </r>
  <r>
    <s v="ORD100613"/>
    <s v="CUST43819"/>
    <x v="0"/>
    <x v="613"/>
    <m/>
    <s v=" "/>
    <n v="1222.8599999999999"/>
    <x v="1"/>
    <x v="0"/>
    <x v="3"/>
    <x v="2"/>
  </r>
  <r>
    <s v="ORD100614"/>
    <s v="CUST26590"/>
    <x v="6"/>
    <x v="614"/>
    <d v="2026-05-25T13:31:15"/>
    <n v="39.000000001396984"/>
    <n v="1192.4000000000001"/>
    <x v="1"/>
    <x v="0"/>
    <x v="1"/>
    <x v="0"/>
  </r>
  <r>
    <s v="ORD100615"/>
    <s v="CUST54099"/>
    <x v="3"/>
    <x v="615"/>
    <d v="2026-05-06T14:47:51"/>
    <n v="18.999999999068677"/>
    <n v="1741.75"/>
    <x v="2"/>
    <x v="0"/>
    <x v="2"/>
    <x v="1"/>
  </r>
  <r>
    <s v="ORD100616"/>
    <s v="CUST69689"/>
    <x v="5"/>
    <x v="616"/>
    <d v="2026-05-29T03:13:31"/>
    <n v="18.999999999068677"/>
    <n v="1803.52"/>
    <x v="2"/>
    <x v="1"/>
    <x v="0"/>
    <x v="1"/>
  </r>
  <r>
    <s v="ORD100617"/>
    <s v="CUST62906"/>
    <x v="2"/>
    <x v="617"/>
    <d v="2026-05-29T10:18:31"/>
    <n v="10.999999993946403"/>
    <n v="1215.95"/>
    <x v="1"/>
    <x v="2"/>
    <x v="1"/>
    <x v="1"/>
  </r>
  <r>
    <s v="ORD100618"/>
    <s v="CUST47742"/>
    <x v="3"/>
    <x v="618"/>
    <d v="2026-05-02T03:40:26"/>
    <n v="14.99999999650754"/>
    <n v="655.07000000000005"/>
    <x v="1"/>
    <x v="1"/>
    <x v="3"/>
    <x v="1"/>
  </r>
  <r>
    <s v="ORD100619"/>
    <s v="CUST79598"/>
    <x v="3"/>
    <x v="619"/>
    <d v="2026-05-03T18:14:00"/>
    <n v="39.000000001396984"/>
    <n v="636.11"/>
    <x v="1"/>
    <x v="0"/>
    <x v="3"/>
    <x v="0"/>
  </r>
  <r>
    <s v="ORD100620"/>
    <s v="CUST62840"/>
    <x v="5"/>
    <x v="620"/>
    <d v="2026-05-06T19:55:40"/>
    <n v="15.999999999767169"/>
    <n v="2165.63"/>
    <x v="2"/>
    <x v="0"/>
    <x v="3"/>
    <x v="1"/>
  </r>
  <r>
    <s v="ORD100621"/>
    <s v="CUST64236"/>
    <x v="4"/>
    <x v="621"/>
    <d v="2026-05-20T16:52:13"/>
    <n v="16.999999992549419"/>
    <n v="1579.66"/>
    <x v="2"/>
    <x v="0"/>
    <x v="2"/>
    <x v="1"/>
  </r>
  <r>
    <s v="ORD100622"/>
    <s v="CUST69692"/>
    <x v="4"/>
    <x v="622"/>
    <d v="2026-05-30T10:43:52"/>
    <n v="20.000000002328306"/>
    <n v="2289.87"/>
    <x v="2"/>
    <x v="2"/>
    <x v="5"/>
    <x v="1"/>
  </r>
  <r>
    <s v="ORD100623"/>
    <s v="CUST56471"/>
    <x v="5"/>
    <x v="623"/>
    <d v="2026-05-04T08:10:29"/>
    <n v="15.999999999767169"/>
    <n v="1039.98"/>
    <x v="1"/>
    <x v="2"/>
    <x v="1"/>
    <x v="1"/>
  </r>
  <r>
    <s v="ORD100624"/>
    <s v="CUST75255"/>
    <x v="5"/>
    <x v="624"/>
    <d v="2026-05-22T18:09:39"/>
    <n v="20.000000002328306"/>
    <n v="1778.08"/>
    <x v="2"/>
    <x v="0"/>
    <x v="2"/>
    <x v="1"/>
  </r>
  <r>
    <s v="ORD100625"/>
    <s v="CUST53065"/>
    <x v="6"/>
    <x v="625"/>
    <d v="2026-05-31T22:57:23"/>
    <n v="14.99999999650754"/>
    <n v="1695.43"/>
    <x v="2"/>
    <x v="0"/>
    <x v="4"/>
    <x v="1"/>
  </r>
  <r>
    <s v="ORD100626"/>
    <s v="CUST30735"/>
    <x v="4"/>
    <x v="626"/>
    <d v="2026-05-29T03:25:48"/>
    <n v="18.999999999068677"/>
    <n v="1992.07"/>
    <x v="2"/>
    <x v="1"/>
    <x v="5"/>
    <x v="1"/>
  </r>
  <r>
    <s v="ORD100627"/>
    <s v="CUST81644"/>
    <x v="2"/>
    <x v="627"/>
    <d v="2026-05-15T00:36:22"/>
    <n v="15.000000006984919"/>
    <n v="2216.77"/>
    <x v="2"/>
    <x v="0"/>
    <x v="1"/>
    <x v="1"/>
  </r>
  <r>
    <s v="ORD100628"/>
    <s v="CUST22540"/>
    <x v="7"/>
    <x v="628"/>
    <d v="2026-05-19T17:46:23"/>
    <n v="13.000000000465661"/>
    <n v="1186.8800000000001"/>
    <x v="1"/>
    <x v="0"/>
    <x v="5"/>
    <x v="1"/>
  </r>
  <r>
    <s v="ORD100629"/>
    <s v="CUST90702"/>
    <x v="0"/>
    <x v="629"/>
    <m/>
    <s v=" "/>
    <n v="171.63"/>
    <x v="0"/>
    <x v="0"/>
    <x v="2"/>
    <x v="2"/>
  </r>
  <r>
    <s v="ORD100630"/>
    <s v="CUST26826"/>
    <x v="2"/>
    <x v="630"/>
    <d v="2026-06-01T05:12:45"/>
    <n v="20.000000002328306"/>
    <n v="1239.8"/>
    <x v="1"/>
    <x v="2"/>
    <x v="1"/>
    <x v="1"/>
  </r>
  <r>
    <s v="ORD100631"/>
    <s v="CUST65870"/>
    <x v="0"/>
    <x v="631"/>
    <d v="2026-05-27T03:25:39"/>
    <n v="8.9999999979045242"/>
    <n v="942.46"/>
    <x v="1"/>
    <x v="1"/>
    <x v="0"/>
    <x v="1"/>
  </r>
  <r>
    <s v="ORD100632"/>
    <s v="CUST49389"/>
    <x v="2"/>
    <x v="632"/>
    <d v="2026-05-13T06:20:59"/>
    <n v="13.000000000465661"/>
    <n v="1205.98"/>
    <x v="1"/>
    <x v="2"/>
    <x v="2"/>
    <x v="1"/>
  </r>
  <r>
    <s v="ORD100633"/>
    <s v="CUST28993"/>
    <x v="3"/>
    <x v="633"/>
    <d v="2026-05-26T06:40:52"/>
    <n v="10.999999993946403"/>
    <n v="508.92"/>
    <x v="1"/>
    <x v="2"/>
    <x v="3"/>
    <x v="1"/>
  </r>
  <r>
    <s v="ORD100634"/>
    <s v="CUST25276"/>
    <x v="7"/>
    <x v="634"/>
    <d v="2026-05-13T23:13:06"/>
    <n v="51.999999991385266"/>
    <n v="1942.06"/>
    <x v="2"/>
    <x v="0"/>
    <x v="4"/>
    <x v="0"/>
  </r>
  <r>
    <s v="ORD100635"/>
    <s v="CUST24067"/>
    <x v="1"/>
    <x v="635"/>
    <d v="2026-05-27T02:19:40"/>
    <n v="20.000000002328306"/>
    <n v="1549.66"/>
    <x v="2"/>
    <x v="1"/>
    <x v="4"/>
    <x v="1"/>
  </r>
  <r>
    <s v="ORD100636"/>
    <s v="CUST52411"/>
    <x v="4"/>
    <x v="636"/>
    <d v="2026-05-08T14:48:42"/>
    <n v="18.999999999068677"/>
    <n v="404.75"/>
    <x v="0"/>
    <x v="0"/>
    <x v="3"/>
    <x v="1"/>
  </r>
  <r>
    <s v="ORD100637"/>
    <s v="CUST46130"/>
    <x v="7"/>
    <x v="637"/>
    <d v="2026-05-09T15:51:33"/>
    <n v="50.999999998603016"/>
    <n v="346.04"/>
    <x v="0"/>
    <x v="0"/>
    <x v="5"/>
    <x v="0"/>
  </r>
  <r>
    <s v="ORD100638"/>
    <s v="CUST22671"/>
    <x v="2"/>
    <x v="638"/>
    <d v="2026-05-04T18:37:27"/>
    <n v="37.999999998137355"/>
    <n v="2061.13"/>
    <x v="2"/>
    <x v="0"/>
    <x v="5"/>
    <x v="0"/>
  </r>
  <r>
    <s v="ORD100639"/>
    <s v="CUST39973"/>
    <x v="0"/>
    <x v="639"/>
    <d v="2026-05-31T17:04:58"/>
    <n v="14.99999999650754"/>
    <n v="2011.22"/>
    <x v="2"/>
    <x v="0"/>
    <x v="0"/>
    <x v="1"/>
  </r>
  <r>
    <s v="ORD100640"/>
    <s v="CUST51266"/>
    <x v="7"/>
    <x v="640"/>
    <d v="2026-05-12T22:52:11"/>
    <n v="14.99999999650754"/>
    <n v="881.09"/>
    <x v="1"/>
    <x v="0"/>
    <x v="0"/>
    <x v="1"/>
  </r>
  <r>
    <s v="ORD100641"/>
    <s v="CUST36544"/>
    <x v="3"/>
    <x v="641"/>
    <d v="2026-05-09T03:40:42"/>
    <n v="15.999999999767169"/>
    <n v="1657.68"/>
    <x v="2"/>
    <x v="1"/>
    <x v="2"/>
    <x v="1"/>
  </r>
  <r>
    <s v="ORD100642"/>
    <s v="CUST82070"/>
    <x v="2"/>
    <x v="642"/>
    <d v="2026-05-21T17:04:24"/>
    <n v="7.9999999946448952"/>
    <n v="2000.83"/>
    <x v="2"/>
    <x v="0"/>
    <x v="4"/>
    <x v="1"/>
  </r>
  <r>
    <s v="ORD100643"/>
    <s v="CUST34993"/>
    <x v="3"/>
    <x v="643"/>
    <d v="2026-05-27T20:11:44"/>
    <n v="13.000000000465661"/>
    <n v="1377.59"/>
    <x v="1"/>
    <x v="0"/>
    <x v="0"/>
    <x v="1"/>
  </r>
  <r>
    <s v="ORD100644"/>
    <s v="CUST93920"/>
    <x v="7"/>
    <x v="644"/>
    <d v="2026-05-16T08:35:21"/>
    <n v="10.000000001164153"/>
    <n v="1060.96"/>
    <x v="1"/>
    <x v="2"/>
    <x v="0"/>
    <x v="1"/>
  </r>
  <r>
    <s v="ORD100645"/>
    <s v="CUST48569"/>
    <x v="6"/>
    <x v="645"/>
    <d v="2026-05-19T15:08:08"/>
    <n v="17.000000003026798"/>
    <n v="1091.26"/>
    <x v="1"/>
    <x v="0"/>
    <x v="5"/>
    <x v="1"/>
  </r>
  <r>
    <s v="ORD100646"/>
    <s v="CUST80952"/>
    <x v="3"/>
    <x v="646"/>
    <d v="2026-05-09T13:48:44"/>
    <n v="10.000000001164153"/>
    <n v="1589.1"/>
    <x v="2"/>
    <x v="0"/>
    <x v="2"/>
    <x v="1"/>
  </r>
  <r>
    <s v="ORD100647"/>
    <s v="CUST53586"/>
    <x v="1"/>
    <x v="647"/>
    <d v="2026-05-20T22:47:55"/>
    <n v="11.999999997206032"/>
    <n v="1414.08"/>
    <x v="1"/>
    <x v="0"/>
    <x v="3"/>
    <x v="1"/>
  </r>
  <r>
    <s v="ORD100648"/>
    <s v="CUST68351"/>
    <x v="1"/>
    <x v="648"/>
    <d v="2026-05-21T23:06:59"/>
    <n v="18.999999999068677"/>
    <n v="2436.34"/>
    <x v="2"/>
    <x v="0"/>
    <x v="2"/>
    <x v="1"/>
  </r>
  <r>
    <s v="ORD100649"/>
    <s v="CUST41992"/>
    <x v="4"/>
    <x v="649"/>
    <d v="2026-05-14T06:38:39"/>
    <n v="25.000000008149073"/>
    <n v="1020.16"/>
    <x v="1"/>
    <x v="2"/>
    <x v="0"/>
    <x v="0"/>
  </r>
  <r>
    <s v="ORD100650"/>
    <s v="CUST99415"/>
    <x v="1"/>
    <x v="650"/>
    <d v="2026-05-19T21:37:58"/>
    <n v="14.99999999650754"/>
    <n v="916.71"/>
    <x v="1"/>
    <x v="0"/>
    <x v="0"/>
    <x v="1"/>
  </r>
  <r>
    <s v="ORD100651"/>
    <s v="CUST99593"/>
    <x v="3"/>
    <x v="651"/>
    <d v="2026-05-09T23:01:11"/>
    <n v="20.000000002328306"/>
    <n v="2052.4"/>
    <x v="2"/>
    <x v="0"/>
    <x v="3"/>
    <x v="1"/>
  </r>
  <r>
    <s v="ORD100652"/>
    <s v="CUST35012"/>
    <x v="5"/>
    <x v="652"/>
    <d v="2026-05-21T22:25:48"/>
    <n v="18.000000006286427"/>
    <n v="1517.33"/>
    <x v="2"/>
    <x v="0"/>
    <x v="4"/>
    <x v="1"/>
  </r>
  <r>
    <s v="ORD100653"/>
    <s v="CUST41465"/>
    <x v="4"/>
    <x v="653"/>
    <d v="2026-05-23T17:43:37"/>
    <n v="13.000000000465661"/>
    <n v="1981.35"/>
    <x v="2"/>
    <x v="0"/>
    <x v="4"/>
    <x v="1"/>
  </r>
  <r>
    <s v="ORD100654"/>
    <s v="CUST60768"/>
    <x v="4"/>
    <x v="654"/>
    <d v="2026-05-27T22:00:57"/>
    <n v="13.000000000465661"/>
    <n v="1143.8499999999999"/>
    <x v="1"/>
    <x v="0"/>
    <x v="5"/>
    <x v="1"/>
  </r>
  <r>
    <s v="ORD100655"/>
    <s v="CUST34168"/>
    <x v="3"/>
    <x v="655"/>
    <d v="2026-05-19T14:02:00"/>
    <n v="11.000000004423782"/>
    <n v="1988.58"/>
    <x v="2"/>
    <x v="0"/>
    <x v="2"/>
    <x v="1"/>
  </r>
  <r>
    <s v="ORD100656"/>
    <s v="CUST95849"/>
    <x v="7"/>
    <x v="656"/>
    <m/>
    <s v=" "/>
    <n v="1405.86"/>
    <x v="1"/>
    <x v="0"/>
    <x v="4"/>
    <x v="2"/>
  </r>
  <r>
    <s v="ORD100657"/>
    <s v="CUST23365"/>
    <x v="6"/>
    <x v="657"/>
    <d v="2026-05-04T21:17:12"/>
    <n v="13.999999993247911"/>
    <n v="665.77"/>
    <x v="1"/>
    <x v="0"/>
    <x v="1"/>
    <x v="1"/>
  </r>
  <r>
    <s v="ORD100658"/>
    <s v="CUST60888"/>
    <x v="1"/>
    <x v="658"/>
    <d v="2026-05-18T05:32:43"/>
    <n v="14.00000000372529"/>
    <n v="1689.27"/>
    <x v="2"/>
    <x v="2"/>
    <x v="0"/>
    <x v="1"/>
  </r>
  <r>
    <s v="ORD100659"/>
    <s v="CUST95470"/>
    <x v="6"/>
    <x v="659"/>
    <d v="2026-05-17T05:43:03"/>
    <n v="49.999999995343387"/>
    <n v="285.95"/>
    <x v="0"/>
    <x v="2"/>
    <x v="5"/>
    <x v="0"/>
  </r>
  <r>
    <s v="ORD100660"/>
    <s v="CUST69192"/>
    <x v="1"/>
    <x v="660"/>
    <d v="2026-05-19T07:08:34"/>
    <n v="20.000000002328306"/>
    <n v="2333.0700000000002"/>
    <x v="2"/>
    <x v="2"/>
    <x v="1"/>
    <x v="1"/>
  </r>
  <r>
    <s v="ORD100661"/>
    <s v="CUST71990"/>
    <x v="5"/>
    <x v="661"/>
    <d v="2026-05-03T12:12:28"/>
    <n v="20.000000002328306"/>
    <n v="1477.05"/>
    <x v="1"/>
    <x v="0"/>
    <x v="2"/>
    <x v="1"/>
  </r>
  <r>
    <s v="ORD100662"/>
    <s v="CUST45995"/>
    <x v="7"/>
    <x v="662"/>
    <d v="2026-05-07T20:14:43"/>
    <n v="18.999999999068677"/>
    <n v="1266.9100000000001"/>
    <x v="1"/>
    <x v="0"/>
    <x v="1"/>
    <x v="1"/>
  </r>
  <r>
    <s v="ORD100663"/>
    <s v="CUST29961"/>
    <x v="3"/>
    <x v="663"/>
    <d v="2026-05-15T23:57:35"/>
    <n v="15.999999999767169"/>
    <n v="1520.19"/>
    <x v="2"/>
    <x v="0"/>
    <x v="2"/>
    <x v="1"/>
  </r>
  <r>
    <s v="ORD100664"/>
    <s v="CUST97607"/>
    <x v="6"/>
    <x v="664"/>
    <m/>
    <s v=" "/>
    <n v="1209.98"/>
    <x v="1"/>
    <x v="0"/>
    <x v="5"/>
    <x v="2"/>
  </r>
  <r>
    <s v="ORD100665"/>
    <s v="CUST51830"/>
    <x v="6"/>
    <x v="665"/>
    <d v="2026-05-19T23:26:03"/>
    <n v="43.999999996740371"/>
    <n v="1431.21"/>
    <x v="1"/>
    <x v="0"/>
    <x v="0"/>
    <x v="0"/>
  </r>
  <r>
    <s v="ORD100666"/>
    <s v="CUST33356"/>
    <x v="3"/>
    <x v="666"/>
    <d v="2026-05-25T12:39:50"/>
    <n v="13.000000000465661"/>
    <n v="2071.86"/>
    <x v="2"/>
    <x v="0"/>
    <x v="0"/>
    <x v="1"/>
  </r>
  <r>
    <s v="ORD100667"/>
    <s v="CUST59529"/>
    <x v="7"/>
    <x v="667"/>
    <d v="2026-05-21T17:20:00"/>
    <n v="16.999999992549419"/>
    <n v="521.82000000000005"/>
    <x v="1"/>
    <x v="0"/>
    <x v="2"/>
    <x v="1"/>
  </r>
  <r>
    <s v="ORD100668"/>
    <s v="CUST98697"/>
    <x v="7"/>
    <x v="668"/>
    <d v="2026-05-17T06:47:55"/>
    <n v="8.0000000051222742"/>
    <n v="2393.12"/>
    <x v="2"/>
    <x v="2"/>
    <x v="0"/>
    <x v="1"/>
  </r>
  <r>
    <s v="ORD100669"/>
    <s v="CUST35866"/>
    <x v="4"/>
    <x v="669"/>
    <d v="2026-05-29T08:25:40"/>
    <n v="27.000000004190952"/>
    <n v="266.06"/>
    <x v="0"/>
    <x v="2"/>
    <x v="4"/>
    <x v="0"/>
  </r>
  <r>
    <s v="ORD100670"/>
    <s v="CUST94177"/>
    <x v="1"/>
    <x v="670"/>
    <d v="2026-05-24T19:07:47"/>
    <n v="33.000000002793968"/>
    <n v="359.99"/>
    <x v="0"/>
    <x v="0"/>
    <x v="5"/>
    <x v="0"/>
  </r>
  <r>
    <s v="ORD100671"/>
    <s v="CUST25383"/>
    <x v="5"/>
    <x v="671"/>
    <d v="2026-05-13T23:22:18"/>
    <n v="10.000000001164153"/>
    <n v="2052.7600000000002"/>
    <x v="2"/>
    <x v="0"/>
    <x v="1"/>
    <x v="1"/>
  </r>
  <r>
    <s v="ORD100672"/>
    <s v="CUST65508"/>
    <x v="4"/>
    <x v="672"/>
    <d v="2026-05-29T05:56:04"/>
    <n v="13.000000000465661"/>
    <n v="1950.22"/>
    <x v="2"/>
    <x v="2"/>
    <x v="0"/>
    <x v="1"/>
  </r>
  <r>
    <s v="ORD100673"/>
    <s v="CUST89827"/>
    <x v="3"/>
    <x v="673"/>
    <d v="2026-05-12T06:04:32"/>
    <n v="17.000000003026798"/>
    <n v="1008.39"/>
    <x v="1"/>
    <x v="2"/>
    <x v="1"/>
    <x v="1"/>
  </r>
  <r>
    <s v="ORD100674"/>
    <s v="CUST76148"/>
    <x v="4"/>
    <x v="674"/>
    <d v="2026-05-08T12:20:27"/>
    <n v="18.000000006286427"/>
    <n v="1285.31"/>
    <x v="1"/>
    <x v="0"/>
    <x v="4"/>
    <x v="1"/>
  </r>
  <r>
    <s v="ORD100675"/>
    <s v="CUST68571"/>
    <x v="2"/>
    <x v="675"/>
    <d v="2026-05-18T17:36:08"/>
    <n v="19.999999991850927"/>
    <n v="1683.4"/>
    <x v="2"/>
    <x v="0"/>
    <x v="5"/>
    <x v="1"/>
  </r>
  <r>
    <s v="ORD100676"/>
    <s v="CUST29038"/>
    <x v="3"/>
    <x v="676"/>
    <d v="2026-05-11T19:11:16"/>
    <n v="17.000000003026798"/>
    <n v="316.27999999999997"/>
    <x v="0"/>
    <x v="0"/>
    <x v="3"/>
    <x v="1"/>
  </r>
  <r>
    <s v="ORD100677"/>
    <s v="CUST86317"/>
    <x v="1"/>
    <x v="677"/>
    <d v="2026-05-01T10:46:45"/>
    <n v="16.999999992549419"/>
    <n v="2059.88"/>
    <x v="2"/>
    <x v="2"/>
    <x v="1"/>
    <x v="1"/>
  </r>
  <r>
    <s v="ORD100678"/>
    <s v="CUST64725"/>
    <x v="7"/>
    <x v="678"/>
    <d v="2026-05-10T01:26:59"/>
    <n v="16.999999992549419"/>
    <n v="2228.4299999999998"/>
    <x v="2"/>
    <x v="1"/>
    <x v="4"/>
    <x v="1"/>
  </r>
  <r>
    <s v="ORD100679"/>
    <s v="CUST21658"/>
    <x v="2"/>
    <x v="679"/>
    <d v="2026-05-21T19:17:49"/>
    <n v="14.00000000372529"/>
    <n v="2266.81"/>
    <x v="2"/>
    <x v="0"/>
    <x v="3"/>
    <x v="1"/>
  </r>
  <r>
    <s v="ORD100680"/>
    <s v="CUST75057"/>
    <x v="6"/>
    <x v="680"/>
    <d v="2026-05-20T16:39:36"/>
    <n v="49.000000002561137"/>
    <n v="1625.72"/>
    <x v="2"/>
    <x v="0"/>
    <x v="5"/>
    <x v="0"/>
  </r>
  <r>
    <s v="ORD100681"/>
    <s v="CUST84251"/>
    <x v="1"/>
    <x v="681"/>
    <d v="2026-05-23T03:01:45"/>
    <n v="11.000000004423782"/>
    <n v="99.44"/>
    <x v="0"/>
    <x v="1"/>
    <x v="2"/>
    <x v="1"/>
  </r>
  <r>
    <s v="ORD100682"/>
    <s v="CUST33833"/>
    <x v="3"/>
    <x v="682"/>
    <d v="2026-05-21T16:28:11"/>
    <n v="14.00000000372529"/>
    <n v="451.14"/>
    <x v="0"/>
    <x v="0"/>
    <x v="0"/>
    <x v="1"/>
  </r>
  <r>
    <s v="ORD100683"/>
    <s v="CUST76822"/>
    <x v="5"/>
    <x v="683"/>
    <d v="2026-05-05T16:19:26"/>
    <n v="8.9999999979045242"/>
    <n v="457.12"/>
    <x v="0"/>
    <x v="0"/>
    <x v="3"/>
    <x v="1"/>
  </r>
  <r>
    <s v="ORD100684"/>
    <s v="CUST67472"/>
    <x v="2"/>
    <x v="684"/>
    <d v="2026-05-26T02:38:14"/>
    <n v="15.999999999767169"/>
    <n v="1374.01"/>
    <x v="1"/>
    <x v="1"/>
    <x v="5"/>
    <x v="1"/>
  </r>
  <r>
    <s v="ORD100685"/>
    <s v="CUST80258"/>
    <x v="5"/>
    <x v="685"/>
    <d v="2026-05-14T22:10:21"/>
    <n v="48.999999992083758"/>
    <n v="1034.96"/>
    <x v="1"/>
    <x v="0"/>
    <x v="3"/>
    <x v="0"/>
  </r>
  <r>
    <s v="ORD100686"/>
    <s v="CUST40052"/>
    <x v="4"/>
    <x v="686"/>
    <d v="2026-05-24T09:24:48"/>
    <n v="11.000000004423782"/>
    <n v="1486.04"/>
    <x v="1"/>
    <x v="2"/>
    <x v="4"/>
    <x v="1"/>
  </r>
  <r>
    <s v="ORD100687"/>
    <s v="CUST77080"/>
    <x v="2"/>
    <x v="687"/>
    <d v="2026-05-31T18:07:48"/>
    <n v="14.99999999650754"/>
    <n v="568.6"/>
    <x v="1"/>
    <x v="0"/>
    <x v="5"/>
    <x v="1"/>
  </r>
  <r>
    <s v="ORD100688"/>
    <s v="CUST43086"/>
    <x v="5"/>
    <x v="688"/>
    <d v="2026-05-01T03:51:22"/>
    <n v="8.9999999979045242"/>
    <n v="1734.64"/>
    <x v="2"/>
    <x v="1"/>
    <x v="5"/>
    <x v="1"/>
  </r>
  <r>
    <s v="ORD100689"/>
    <s v="CUST88386"/>
    <x v="6"/>
    <x v="689"/>
    <d v="2026-05-29T08:10:41"/>
    <n v="13.000000000465661"/>
    <n v="858.83"/>
    <x v="1"/>
    <x v="2"/>
    <x v="2"/>
    <x v="1"/>
  </r>
  <r>
    <s v="ORD100690"/>
    <s v="CUST55400"/>
    <x v="0"/>
    <x v="690"/>
    <d v="2026-05-16T02:00:56"/>
    <n v="17.000000003026798"/>
    <n v="1467.66"/>
    <x v="1"/>
    <x v="1"/>
    <x v="0"/>
    <x v="1"/>
  </r>
  <r>
    <s v="ORD100691"/>
    <s v="CUST90539"/>
    <x v="3"/>
    <x v="691"/>
    <d v="2026-05-21T13:13:50"/>
    <n v="15.000000006984919"/>
    <n v="2290.69"/>
    <x v="2"/>
    <x v="0"/>
    <x v="5"/>
    <x v="1"/>
  </r>
  <r>
    <s v="ORD100692"/>
    <s v="CUST83372"/>
    <x v="3"/>
    <x v="692"/>
    <d v="2026-05-08T12:34:34"/>
    <n v="18.000000006286427"/>
    <n v="829.92"/>
    <x v="1"/>
    <x v="0"/>
    <x v="4"/>
    <x v="1"/>
  </r>
  <r>
    <s v="ORD100693"/>
    <s v="CUST80931"/>
    <x v="1"/>
    <x v="693"/>
    <d v="2026-05-19T01:10:33"/>
    <n v="11.999999997206032"/>
    <n v="2363"/>
    <x v="2"/>
    <x v="1"/>
    <x v="5"/>
    <x v="1"/>
  </r>
  <r>
    <s v="ORD100694"/>
    <s v="CUST77091"/>
    <x v="2"/>
    <x v="694"/>
    <d v="2026-05-24T17:00:32"/>
    <n v="8.9999999979045242"/>
    <n v="1142.3399999999999"/>
    <x v="1"/>
    <x v="0"/>
    <x v="5"/>
    <x v="1"/>
  </r>
  <r>
    <s v="ORD100695"/>
    <s v="CUST97656"/>
    <x v="5"/>
    <x v="695"/>
    <d v="2026-05-29T15:12:18"/>
    <n v="10.000000001164153"/>
    <n v="2457.19"/>
    <x v="2"/>
    <x v="0"/>
    <x v="1"/>
    <x v="1"/>
  </r>
  <r>
    <s v="ORD100696"/>
    <s v="CUST55179"/>
    <x v="4"/>
    <x v="696"/>
    <d v="2026-05-13T10:41:05"/>
    <n v="8.9999999979045242"/>
    <n v="925.24"/>
    <x v="1"/>
    <x v="2"/>
    <x v="0"/>
    <x v="1"/>
  </r>
  <r>
    <s v="ORD100697"/>
    <s v="CUST62245"/>
    <x v="3"/>
    <x v="697"/>
    <d v="2026-05-07T06:49:34"/>
    <n v="59.99999999650754"/>
    <n v="313.29000000000002"/>
    <x v="0"/>
    <x v="2"/>
    <x v="4"/>
    <x v="0"/>
  </r>
  <r>
    <s v="ORD100698"/>
    <s v="CUST52177"/>
    <x v="3"/>
    <x v="698"/>
    <d v="2026-05-01T20:14:13"/>
    <n v="9.9999999906867743"/>
    <n v="118.49"/>
    <x v="0"/>
    <x v="0"/>
    <x v="1"/>
    <x v="1"/>
  </r>
  <r>
    <s v="ORD100699"/>
    <s v="CUST31359"/>
    <x v="4"/>
    <x v="699"/>
    <d v="2026-05-14T21:35:53"/>
    <n v="7.9999999946448952"/>
    <n v="2466.41"/>
    <x v="2"/>
    <x v="0"/>
    <x v="3"/>
    <x v="1"/>
  </r>
  <r>
    <s v="ORD100700"/>
    <s v="CUST56559"/>
    <x v="6"/>
    <x v="700"/>
    <d v="2026-05-07T06:53:53"/>
    <n v="18.999999999068677"/>
    <n v="1069.07"/>
    <x v="1"/>
    <x v="2"/>
    <x v="0"/>
    <x v="1"/>
  </r>
  <r>
    <s v="ORD100701"/>
    <s v="CUST79087"/>
    <x v="5"/>
    <x v="701"/>
    <d v="2026-05-28T21:48:04"/>
    <n v="56.000000004423782"/>
    <n v="405.13"/>
    <x v="0"/>
    <x v="0"/>
    <x v="3"/>
    <x v="0"/>
  </r>
  <r>
    <s v="ORD100702"/>
    <s v="CUST51963"/>
    <x v="3"/>
    <x v="702"/>
    <d v="2026-05-10T00:37:45"/>
    <n v="8.0000000051222742"/>
    <n v="805.04"/>
    <x v="1"/>
    <x v="0"/>
    <x v="4"/>
    <x v="1"/>
  </r>
  <r>
    <s v="ORD100703"/>
    <s v="CUST80910"/>
    <x v="1"/>
    <x v="703"/>
    <d v="2026-05-22T01:15:04"/>
    <n v="10.000000001164153"/>
    <n v="985.13"/>
    <x v="1"/>
    <x v="1"/>
    <x v="1"/>
    <x v="1"/>
  </r>
  <r>
    <s v="ORD100704"/>
    <s v="CUST94691"/>
    <x v="3"/>
    <x v="704"/>
    <d v="2026-05-04T06:01:16"/>
    <n v="11.000000004423782"/>
    <n v="1416.32"/>
    <x v="1"/>
    <x v="2"/>
    <x v="3"/>
    <x v="1"/>
  </r>
  <r>
    <s v="ORD100705"/>
    <s v="CUST99997"/>
    <x v="7"/>
    <x v="705"/>
    <d v="2026-05-05T19:01:14"/>
    <n v="8.9999999979045242"/>
    <n v="226.51"/>
    <x v="0"/>
    <x v="0"/>
    <x v="1"/>
    <x v="1"/>
  </r>
  <r>
    <s v="ORD100706"/>
    <s v="CUST69674"/>
    <x v="0"/>
    <x v="706"/>
    <d v="2026-05-17T13:38:28"/>
    <n v="14.00000000372529"/>
    <n v="1787.05"/>
    <x v="2"/>
    <x v="0"/>
    <x v="5"/>
    <x v="1"/>
  </r>
  <r>
    <s v="ORD100707"/>
    <s v="CUST64092"/>
    <x v="6"/>
    <x v="707"/>
    <d v="2026-05-26T14:03:01"/>
    <n v="42.999999993480742"/>
    <n v="2068.81"/>
    <x v="2"/>
    <x v="0"/>
    <x v="5"/>
    <x v="0"/>
  </r>
  <r>
    <s v="ORD100708"/>
    <s v="CUST23761"/>
    <x v="2"/>
    <x v="708"/>
    <m/>
    <s v=" "/>
    <n v="961.19"/>
    <x v="1"/>
    <x v="0"/>
    <x v="0"/>
    <x v="2"/>
  </r>
  <r>
    <s v="ORD100709"/>
    <s v="CUST84789"/>
    <x v="5"/>
    <x v="709"/>
    <d v="2026-05-01T20:57:39"/>
    <n v="10.999999993946403"/>
    <n v="2165.9899999999998"/>
    <x v="2"/>
    <x v="0"/>
    <x v="5"/>
    <x v="1"/>
  </r>
  <r>
    <s v="ORD100710"/>
    <s v="CUST62600"/>
    <x v="4"/>
    <x v="710"/>
    <d v="2026-05-05T23:48:02"/>
    <n v="11.000000004423782"/>
    <n v="2176.63"/>
    <x v="2"/>
    <x v="0"/>
    <x v="5"/>
    <x v="1"/>
  </r>
  <r>
    <s v="ORD100711"/>
    <s v="CUST43834"/>
    <x v="1"/>
    <x v="711"/>
    <m/>
    <s v=" "/>
    <n v="663.58"/>
    <x v="1"/>
    <x v="0"/>
    <x v="0"/>
    <x v="2"/>
  </r>
  <r>
    <s v="ORD100712"/>
    <s v="CUST83904"/>
    <x v="6"/>
    <x v="712"/>
    <d v="2026-05-07T10:02:43"/>
    <n v="12.000000007683411"/>
    <n v="1784.33"/>
    <x v="2"/>
    <x v="2"/>
    <x v="0"/>
    <x v="1"/>
  </r>
  <r>
    <s v="ORD100713"/>
    <s v="CUST47802"/>
    <x v="7"/>
    <x v="713"/>
    <d v="2026-05-20T19:23:18"/>
    <n v="17.999999995809048"/>
    <n v="1045.24"/>
    <x v="1"/>
    <x v="0"/>
    <x v="0"/>
    <x v="1"/>
  </r>
  <r>
    <s v="ORD100714"/>
    <s v="CUST66507"/>
    <x v="7"/>
    <x v="714"/>
    <d v="2026-05-29T12:41:52"/>
    <n v="15.999999999767169"/>
    <n v="862.51"/>
    <x v="1"/>
    <x v="0"/>
    <x v="5"/>
    <x v="1"/>
  </r>
  <r>
    <s v="ORD100715"/>
    <s v="CUST53862"/>
    <x v="4"/>
    <x v="715"/>
    <d v="2026-05-02T15:19:34"/>
    <n v="8.9999999979045242"/>
    <n v="1017.7"/>
    <x v="1"/>
    <x v="0"/>
    <x v="4"/>
    <x v="1"/>
  </r>
  <r>
    <s v="ORD100716"/>
    <s v="CUST64608"/>
    <x v="0"/>
    <x v="716"/>
    <d v="2026-05-15T05:02:25"/>
    <n v="15.000000006984919"/>
    <n v="1014.76"/>
    <x v="1"/>
    <x v="2"/>
    <x v="1"/>
    <x v="1"/>
  </r>
  <r>
    <s v="ORD100717"/>
    <s v="CUST56655"/>
    <x v="7"/>
    <x v="717"/>
    <d v="2026-05-19T20:37:19"/>
    <n v="27.999999996973202"/>
    <n v="1407.29"/>
    <x v="1"/>
    <x v="0"/>
    <x v="1"/>
    <x v="0"/>
  </r>
  <r>
    <s v="ORD100718"/>
    <s v="CUST98139"/>
    <x v="4"/>
    <x v="718"/>
    <d v="2026-05-24T00:48:55"/>
    <n v="13.000000000465661"/>
    <n v="1688.97"/>
    <x v="2"/>
    <x v="0"/>
    <x v="5"/>
    <x v="1"/>
  </r>
  <r>
    <s v="ORD100719"/>
    <s v="CUST56211"/>
    <x v="0"/>
    <x v="719"/>
    <d v="2026-05-10T03:18:00"/>
    <n v="15.999999999767169"/>
    <n v="1238.69"/>
    <x v="1"/>
    <x v="1"/>
    <x v="3"/>
    <x v="1"/>
  </r>
  <r>
    <s v="ORD100720"/>
    <s v="CUST92848"/>
    <x v="6"/>
    <x v="720"/>
    <d v="2026-05-26T17:43:05"/>
    <n v="7.9999999946448952"/>
    <n v="550.74"/>
    <x v="1"/>
    <x v="0"/>
    <x v="4"/>
    <x v="1"/>
  </r>
  <r>
    <s v="ORD100721"/>
    <s v="CUST21330"/>
    <x v="5"/>
    <x v="721"/>
    <d v="2026-05-20T06:57:47"/>
    <n v="10.000000001164153"/>
    <n v="1022.03"/>
    <x v="1"/>
    <x v="2"/>
    <x v="3"/>
    <x v="1"/>
  </r>
  <r>
    <s v="ORD100722"/>
    <s v="CUST87715"/>
    <x v="6"/>
    <x v="722"/>
    <d v="2026-05-23T06:39:57"/>
    <n v="13.000000000465661"/>
    <n v="2317.7600000000002"/>
    <x v="2"/>
    <x v="2"/>
    <x v="1"/>
    <x v="1"/>
  </r>
  <r>
    <s v="ORD100723"/>
    <s v="CUST45042"/>
    <x v="4"/>
    <x v="723"/>
    <d v="2026-05-10T05:25:14"/>
    <n v="14.00000000372529"/>
    <n v="2114.91"/>
    <x v="2"/>
    <x v="2"/>
    <x v="5"/>
    <x v="1"/>
  </r>
  <r>
    <s v="ORD100724"/>
    <s v="CUST31221"/>
    <x v="5"/>
    <x v="724"/>
    <d v="2026-05-17T06:21:11"/>
    <n v="13.999999993247911"/>
    <n v="469.24"/>
    <x v="0"/>
    <x v="2"/>
    <x v="5"/>
    <x v="1"/>
  </r>
  <r>
    <s v="ORD100725"/>
    <s v="CUST51635"/>
    <x v="4"/>
    <x v="725"/>
    <d v="2026-05-04T17:39:41"/>
    <n v="10.000000001164153"/>
    <n v="2492.89"/>
    <x v="2"/>
    <x v="0"/>
    <x v="2"/>
    <x v="1"/>
  </r>
  <r>
    <s v="ORD100726"/>
    <s v="CUST73271"/>
    <x v="6"/>
    <x v="726"/>
    <d v="2026-05-05T09:51:04"/>
    <n v="9.0000000083819032"/>
    <n v="1707.16"/>
    <x v="2"/>
    <x v="2"/>
    <x v="2"/>
    <x v="1"/>
  </r>
  <r>
    <s v="ORD100727"/>
    <s v="CUST84038"/>
    <x v="3"/>
    <x v="727"/>
    <d v="2026-05-17T03:22:46"/>
    <n v="10.000000001164153"/>
    <n v="421.27"/>
    <x v="0"/>
    <x v="1"/>
    <x v="5"/>
    <x v="1"/>
  </r>
  <r>
    <s v="ORD100728"/>
    <s v="CUST92768"/>
    <x v="3"/>
    <x v="728"/>
    <d v="2026-06-01T10:38:08"/>
    <n v="15.999999999767169"/>
    <n v="271.19"/>
    <x v="0"/>
    <x v="2"/>
    <x v="3"/>
    <x v="1"/>
  </r>
  <r>
    <s v="ORD100729"/>
    <s v="CUST51499"/>
    <x v="6"/>
    <x v="729"/>
    <d v="2026-05-16T04:09:39"/>
    <n v="50.999999998603016"/>
    <n v="136.69999999999999"/>
    <x v="0"/>
    <x v="1"/>
    <x v="4"/>
    <x v="0"/>
  </r>
  <r>
    <s v="ORD100730"/>
    <s v="CUST82402"/>
    <x v="7"/>
    <x v="730"/>
    <d v="2026-05-05T06:35:31"/>
    <n v="15.000000006984919"/>
    <n v="1830.21"/>
    <x v="2"/>
    <x v="2"/>
    <x v="3"/>
    <x v="1"/>
  </r>
  <r>
    <s v="ORD100731"/>
    <s v="CUST84332"/>
    <x v="7"/>
    <x v="731"/>
    <d v="2026-05-29T10:58:42"/>
    <n v="18.999999999068677"/>
    <n v="1267.08"/>
    <x v="1"/>
    <x v="2"/>
    <x v="3"/>
    <x v="1"/>
  </r>
  <r>
    <s v="ORD100732"/>
    <s v="CUST78743"/>
    <x v="5"/>
    <x v="732"/>
    <d v="2026-05-20T22:46:09"/>
    <n v="9.0000000083819032"/>
    <n v="1147.1600000000001"/>
    <x v="1"/>
    <x v="0"/>
    <x v="1"/>
    <x v="1"/>
  </r>
  <r>
    <s v="ORD100733"/>
    <s v="CUST22260"/>
    <x v="5"/>
    <x v="733"/>
    <m/>
    <s v=" "/>
    <n v="2475.52"/>
    <x v="2"/>
    <x v="0"/>
    <x v="3"/>
    <x v="2"/>
  </r>
  <r>
    <s v="ORD100734"/>
    <s v="CUST32196"/>
    <x v="3"/>
    <x v="734"/>
    <d v="2026-05-01T10:29:50"/>
    <n v="14.00000000372529"/>
    <n v="302.19"/>
    <x v="0"/>
    <x v="2"/>
    <x v="3"/>
    <x v="1"/>
  </r>
  <r>
    <s v="ORD100735"/>
    <s v="CUST58566"/>
    <x v="0"/>
    <x v="735"/>
    <d v="2026-05-15T22:58:41"/>
    <n v="11.000000004423782"/>
    <n v="1640.38"/>
    <x v="2"/>
    <x v="0"/>
    <x v="1"/>
    <x v="1"/>
  </r>
  <r>
    <s v="ORD100736"/>
    <s v="CUST49045"/>
    <x v="6"/>
    <x v="736"/>
    <d v="2026-05-28T09:03:23"/>
    <n v="10.000000001164153"/>
    <n v="1097.05"/>
    <x v="1"/>
    <x v="2"/>
    <x v="1"/>
    <x v="1"/>
  </r>
  <r>
    <s v="ORD100737"/>
    <s v="CUST73005"/>
    <x v="0"/>
    <x v="737"/>
    <d v="2026-05-09T21:57:21"/>
    <n v="10.999999993946403"/>
    <n v="1193.47"/>
    <x v="1"/>
    <x v="0"/>
    <x v="0"/>
    <x v="1"/>
  </r>
  <r>
    <s v="ORD100738"/>
    <s v="CUST51890"/>
    <x v="5"/>
    <x v="738"/>
    <d v="2026-05-31T14:40:22"/>
    <n v="11.999999997206032"/>
    <n v="1992.43"/>
    <x v="2"/>
    <x v="0"/>
    <x v="1"/>
    <x v="1"/>
  </r>
  <r>
    <s v="ORD100739"/>
    <s v="CUST60135"/>
    <x v="0"/>
    <x v="739"/>
    <d v="2026-05-20T15:49:06"/>
    <n v="14.00000000372529"/>
    <n v="1549.63"/>
    <x v="2"/>
    <x v="0"/>
    <x v="1"/>
    <x v="1"/>
  </r>
  <r>
    <s v="ORD100740"/>
    <s v="CUST96225"/>
    <x v="4"/>
    <x v="740"/>
    <d v="2026-05-12T20:57:05"/>
    <n v="18.999999999068677"/>
    <n v="1120.69"/>
    <x v="1"/>
    <x v="0"/>
    <x v="0"/>
    <x v="1"/>
  </r>
  <r>
    <s v="ORD100741"/>
    <s v="CUST68368"/>
    <x v="2"/>
    <x v="741"/>
    <d v="2026-05-18T05:52:34"/>
    <n v="55.000000001164153"/>
    <n v="530.51"/>
    <x v="1"/>
    <x v="2"/>
    <x v="1"/>
    <x v="0"/>
  </r>
  <r>
    <s v="ORD100742"/>
    <s v="CUST82031"/>
    <x v="3"/>
    <x v="742"/>
    <d v="2026-05-13T08:56:56"/>
    <n v="9.9999999906867743"/>
    <n v="1321.6"/>
    <x v="1"/>
    <x v="2"/>
    <x v="0"/>
    <x v="1"/>
  </r>
  <r>
    <s v="ORD100743"/>
    <s v="CUST92544"/>
    <x v="3"/>
    <x v="743"/>
    <d v="2026-05-05T23:21:57"/>
    <n v="17.000000003026798"/>
    <n v="1423.92"/>
    <x v="1"/>
    <x v="0"/>
    <x v="4"/>
    <x v="1"/>
  </r>
  <r>
    <s v="ORD100744"/>
    <s v="CUST89588"/>
    <x v="4"/>
    <x v="744"/>
    <d v="2026-05-02T16:57:01"/>
    <n v="16.999999992549419"/>
    <n v="1179.1099999999999"/>
    <x v="1"/>
    <x v="0"/>
    <x v="2"/>
    <x v="1"/>
  </r>
  <r>
    <s v="ORD100745"/>
    <s v="CUST65056"/>
    <x v="5"/>
    <x v="745"/>
    <d v="2026-05-26T18:25:58"/>
    <n v="12.000000007683411"/>
    <n v="951.74"/>
    <x v="1"/>
    <x v="0"/>
    <x v="2"/>
    <x v="1"/>
  </r>
  <r>
    <s v="ORD100746"/>
    <s v="CUST75771"/>
    <x v="6"/>
    <x v="746"/>
    <d v="2026-05-03T17:33:34"/>
    <n v="17.000000003026798"/>
    <n v="544.9"/>
    <x v="1"/>
    <x v="0"/>
    <x v="4"/>
    <x v="1"/>
  </r>
  <r>
    <s v="ORD100747"/>
    <s v="CUST92140"/>
    <x v="6"/>
    <x v="747"/>
    <d v="2026-05-31T21:00:09"/>
    <n v="11.000000004423782"/>
    <n v="1549.98"/>
    <x v="2"/>
    <x v="0"/>
    <x v="4"/>
    <x v="1"/>
  </r>
  <r>
    <s v="ORD100748"/>
    <s v="CUST63357"/>
    <x v="7"/>
    <x v="748"/>
    <d v="2026-05-24T12:30:57"/>
    <n v="15.999999999767169"/>
    <n v="1486.05"/>
    <x v="1"/>
    <x v="0"/>
    <x v="3"/>
    <x v="1"/>
  </r>
  <r>
    <s v="ORD100749"/>
    <s v="CUST66112"/>
    <x v="1"/>
    <x v="749"/>
    <d v="2026-05-19T04:48:32"/>
    <n v="19.000000009546056"/>
    <n v="2131.33"/>
    <x v="2"/>
    <x v="1"/>
    <x v="4"/>
    <x v="1"/>
  </r>
  <r>
    <s v="ORD100750"/>
    <s v="CUST79473"/>
    <x v="4"/>
    <x v="750"/>
    <d v="2026-05-06T12:41:32"/>
    <n v="17.999999995809048"/>
    <n v="667.2"/>
    <x v="1"/>
    <x v="0"/>
    <x v="2"/>
    <x v="1"/>
  </r>
  <r>
    <s v="ORD100751"/>
    <s v="CUST55509"/>
    <x v="1"/>
    <x v="751"/>
    <m/>
    <s v=" "/>
    <n v="1303.1500000000001"/>
    <x v="1"/>
    <x v="0"/>
    <x v="5"/>
    <x v="2"/>
  </r>
  <r>
    <s v="ORD100752"/>
    <s v="CUST60189"/>
    <x v="1"/>
    <x v="752"/>
    <d v="2026-05-11T16:23:28"/>
    <n v="15.000000006984919"/>
    <n v="1085.01"/>
    <x v="1"/>
    <x v="0"/>
    <x v="5"/>
    <x v="1"/>
  </r>
  <r>
    <s v="ORD100753"/>
    <s v="CUST52951"/>
    <x v="6"/>
    <x v="753"/>
    <d v="2026-05-11T05:48:36"/>
    <n v="11.999999997206032"/>
    <n v="1409.8"/>
    <x v="1"/>
    <x v="2"/>
    <x v="0"/>
    <x v="1"/>
  </r>
  <r>
    <s v="ORD100754"/>
    <s v="CUST50217"/>
    <x v="5"/>
    <x v="754"/>
    <d v="2026-05-10T23:57:30"/>
    <n v="11.000000004423782"/>
    <n v="979.73"/>
    <x v="1"/>
    <x v="0"/>
    <x v="5"/>
    <x v="1"/>
  </r>
  <r>
    <s v="ORD100755"/>
    <s v="CUST35814"/>
    <x v="3"/>
    <x v="755"/>
    <d v="2026-05-23T01:22:48"/>
    <n v="8.0000000051222742"/>
    <n v="2446.7600000000002"/>
    <x v="2"/>
    <x v="1"/>
    <x v="3"/>
    <x v="1"/>
  </r>
  <r>
    <s v="ORD100756"/>
    <s v="CUST45242"/>
    <x v="6"/>
    <x v="756"/>
    <d v="2026-06-01T07:14:16"/>
    <n v="10.000000001164153"/>
    <n v="1462.56"/>
    <x v="1"/>
    <x v="2"/>
    <x v="2"/>
    <x v="1"/>
  </r>
  <r>
    <s v="ORD100757"/>
    <s v="CUST61359"/>
    <x v="4"/>
    <x v="757"/>
    <d v="2026-05-24T07:17:42"/>
    <n v="14.99999999650754"/>
    <n v="1790.72"/>
    <x v="2"/>
    <x v="2"/>
    <x v="1"/>
    <x v="1"/>
  </r>
  <r>
    <s v="ORD100758"/>
    <s v="CUST35670"/>
    <x v="4"/>
    <x v="758"/>
    <d v="2026-05-14T17:07:50"/>
    <n v="8.9999999979045242"/>
    <n v="370.59"/>
    <x v="0"/>
    <x v="0"/>
    <x v="1"/>
    <x v="1"/>
  </r>
  <r>
    <s v="ORD100759"/>
    <s v="CUST90236"/>
    <x v="3"/>
    <x v="759"/>
    <d v="2026-05-24T12:44:58"/>
    <n v="14.00000000372529"/>
    <n v="1254.68"/>
    <x v="1"/>
    <x v="0"/>
    <x v="5"/>
    <x v="1"/>
  </r>
  <r>
    <s v="ORD100760"/>
    <s v="CUST44267"/>
    <x v="5"/>
    <x v="760"/>
    <d v="2026-05-30T01:19:41"/>
    <n v="17.000000003026798"/>
    <n v="1756.19"/>
    <x v="2"/>
    <x v="1"/>
    <x v="3"/>
    <x v="1"/>
  </r>
  <r>
    <s v="ORD100761"/>
    <s v="CUST45105"/>
    <x v="5"/>
    <x v="761"/>
    <d v="2026-05-21T04:05:33"/>
    <n v="20.000000002328306"/>
    <n v="440.01"/>
    <x v="0"/>
    <x v="1"/>
    <x v="0"/>
    <x v="1"/>
  </r>
  <r>
    <s v="ORD100762"/>
    <s v="CUST48361"/>
    <x v="5"/>
    <x v="762"/>
    <d v="2026-05-18T23:27:37"/>
    <n v="11.000000004423782"/>
    <n v="1854.1"/>
    <x v="2"/>
    <x v="0"/>
    <x v="5"/>
    <x v="1"/>
  </r>
  <r>
    <s v="ORD100763"/>
    <s v="CUST83464"/>
    <x v="1"/>
    <x v="763"/>
    <d v="2026-05-12T12:57:24"/>
    <n v="15.999999999767169"/>
    <n v="2459.59"/>
    <x v="2"/>
    <x v="0"/>
    <x v="4"/>
    <x v="1"/>
  </r>
  <r>
    <s v="ORD100764"/>
    <s v="CUST56241"/>
    <x v="2"/>
    <x v="764"/>
    <m/>
    <s v=" "/>
    <n v="2459.8000000000002"/>
    <x v="2"/>
    <x v="0"/>
    <x v="0"/>
    <x v="2"/>
  </r>
  <r>
    <s v="ORD100765"/>
    <s v="CUST97278"/>
    <x v="6"/>
    <x v="765"/>
    <d v="2026-05-05T16:29:24"/>
    <n v="13.000000000465661"/>
    <n v="1968.29"/>
    <x v="2"/>
    <x v="0"/>
    <x v="4"/>
    <x v="1"/>
  </r>
  <r>
    <s v="ORD100766"/>
    <s v="CUST88765"/>
    <x v="5"/>
    <x v="766"/>
    <d v="2026-05-15T16:42:22"/>
    <n v="17.000000003026798"/>
    <n v="1214.8499999999999"/>
    <x v="1"/>
    <x v="0"/>
    <x v="3"/>
    <x v="1"/>
  </r>
  <r>
    <s v="ORD100767"/>
    <s v="CUST98222"/>
    <x v="7"/>
    <x v="767"/>
    <d v="2026-05-23T16:05:30"/>
    <n v="15.000000006984919"/>
    <n v="286.76"/>
    <x v="0"/>
    <x v="0"/>
    <x v="3"/>
    <x v="1"/>
  </r>
  <r>
    <s v="ORD100768"/>
    <s v="CUST57093"/>
    <x v="5"/>
    <x v="768"/>
    <d v="2026-05-01T17:11:08"/>
    <n v="14.99999999650754"/>
    <n v="2234.8000000000002"/>
    <x v="2"/>
    <x v="0"/>
    <x v="0"/>
    <x v="1"/>
  </r>
  <r>
    <s v="ORD100769"/>
    <s v="CUST33176"/>
    <x v="5"/>
    <x v="769"/>
    <d v="2026-05-29T05:29:04"/>
    <n v="14.99999999650754"/>
    <n v="311.27"/>
    <x v="0"/>
    <x v="2"/>
    <x v="3"/>
    <x v="1"/>
  </r>
  <r>
    <s v="ORD100770"/>
    <s v="CUST45443"/>
    <x v="3"/>
    <x v="770"/>
    <d v="2026-05-18T06:26:11"/>
    <n v="17.000000003026798"/>
    <n v="1232.8800000000001"/>
    <x v="1"/>
    <x v="2"/>
    <x v="0"/>
    <x v="1"/>
  </r>
  <r>
    <s v="ORD100771"/>
    <s v="CUST58829"/>
    <x v="0"/>
    <x v="771"/>
    <d v="2026-05-11T11:46:45"/>
    <n v="8.0000000051222742"/>
    <n v="1879.05"/>
    <x v="2"/>
    <x v="2"/>
    <x v="3"/>
    <x v="1"/>
  </r>
  <r>
    <s v="ORD100772"/>
    <s v="CUST49816"/>
    <x v="3"/>
    <x v="772"/>
    <d v="2026-05-08T21:33:26"/>
    <n v="18.999999999068677"/>
    <n v="2403.9899999999998"/>
    <x v="2"/>
    <x v="0"/>
    <x v="5"/>
    <x v="1"/>
  </r>
  <r>
    <s v="ORD100773"/>
    <s v="CUST67301"/>
    <x v="7"/>
    <x v="773"/>
    <d v="2026-05-22T23:16:30"/>
    <n v="9.0000000083819032"/>
    <n v="286.39999999999998"/>
    <x v="0"/>
    <x v="0"/>
    <x v="3"/>
    <x v="1"/>
  </r>
  <r>
    <s v="ORD100774"/>
    <s v="CUST43519"/>
    <x v="6"/>
    <x v="774"/>
    <d v="2026-05-31T15:25:37"/>
    <n v="11.999999997206032"/>
    <n v="1619.85"/>
    <x v="2"/>
    <x v="0"/>
    <x v="3"/>
    <x v="1"/>
  </r>
  <r>
    <s v="ORD100775"/>
    <s v="CUST59618"/>
    <x v="7"/>
    <x v="775"/>
    <d v="2026-05-11T21:11:26"/>
    <n v="17.999999995809048"/>
    <n v="2014.44"/>
    <x v="2"/>
    <x v="0"/>
    <x v="3"/>
    <x v="1"/>
  </r>
  <r>
    <s v="ORD100776"/>
    <s v="CUST21854"/>
    <x v="0"/>
    <x v="776"/>
    <m/>
    <s v=" "/>
    <n v="849"/>
    <x v="1"/>
    <x v="0"/>
    <x v="4"/>
    <x v="2"/>
  </r>
  <r>
    <s v="ORD100777"/>
    <s v="CUST90010"/>
    <x v="7"/>
    <x v="777"/>
    <d v="2026-05-11T05:34:32"/>
    <n v="53.999999997904524"/>
    <n v="225.66"/>
    <x v="0"/>
    <x v="2"/>
    <x v="2"/>
    <x v="0"/>
  </r>
  <r>
    <s v="ORD100778"/>
    <s v="CUST36591"/>
    <x v="5"/>
    <x v="778"/>
    <m/>
    <s v=" "/>
    <n v="923.51"/>
    <x v="1"/>
    <x v="0"/>
    <x v="0"/>
    <x v="2"/>
  </r>
  <r>
    <s v="ORD100779"/>
    <s v="CUST55954"/>
    <x v="7"/>
    <x v="779"/>
    <d v="2026-05-11T09:12:11"/>
    <n v="13.000000000465661"/>
    <n v="1967.47"/>
    <x v="2"/>
    <x v="2"/>
    <x v="4"/>
    <x v="1"/>
  </r>
  <r>
    <s v="ORD100780"/>
    <s v="CUST25965"/>
    <x v="6"/>
    <x v="780"/>
    <d v="2026-05-26T20:20:40"/>
    <n v="44.00000000721775"/>
    <n v="1224.29"/>
    <x v="1"/>
    <x v="0"/>
    <x v="4"/>
    <x v="0"/>
  </r>
  <r>
    <s v="ORD100781"/>
    <s v="CUST27146"/>
    <x v="5"/>
    <x v="781"/>
    <d v="2026-05-03T00:00:42"/>
    <n v="13.999999993247911"/>
    <n v="1329.39"/>
    <x v="1"/>
    <x v="0"/>
    <x v="4"/>
    <x v="1"/>
  </r>
  <r>
    <s v="ORD100782"/>
    <s v="CUST92529"/>
    <x v="5"/>
    <x v="782"/>
    <d v="2026-05-19T02:30:28"/>
    <n v="17.000000003026798"/>
    <n v="1225.1600000000001"/>
    <x v="1"/>
    <x v="1"/>
    <x v="2"/>
    <x v="1"/>
  </r>
  <r>
    <s v="ORD100783"/>
    <s v="CUST58290"/>
    <x v="5"/>
    <x v="783"/>
    <d v="2026-05-31T15:30:14"/>
    <n v="19.999999991850927"/>
    <n v="1860.15"/>
    <x v="2"/>
    <x v="0"/>
    <x v="2"/>
    <x v="1"/>
  </r>
  <r>
    <s v="ORD100784"/>
    <s v="CUST36551"/>
    <x v="3"/>
    <x v="784"/>
    <d v="2026-05-27T19:19:50"/>
    <n v="10.000000001164153"/>
    <n v="1109.44"/>
    <x v="1"/>
    <x v="0"/>
    <x v="4"/>
    <x v="1"/>
  </r>
  <r>
    <s v="ORD100785"/>
    <s v="CUST84340"/>
    <x v="2"/>
    <x v="785"/>
    <d v="2026-05-12T19:56:32"/>
    <n v="14.00000000372529"/>
    <n v="2404.4"/>
    <x v="2"/>
    <x v="0"/>
    <x v="3"/>
    <x v="1"/>
  </r>
  <r>
    <s v="ORD100786"/>
    <s v="CUST33446"/>
    <x v="2"/>
    <x v="786"/>
    <d v="2026-05-17T05:57:43"/>
    <n v="11.000000004423782"/>
    <n v="2014.74"/>
    <x v="2"/>
    <x v="2"/>
    <x v="4"/>
    <x v="1"/>
  </r>
  <r>
    <s v="ORD100787"/>
    <s v="CUST21607"/>
    <x v="6"/>
    <x v="787"/>
    <d v="2026-05-22T14:48:37"/>
    <n v="10.000000001164153"/>
    <n v="793.1"/>
    <x v="1"/>
    <x v="0"/>
    <x v="4"/>
    <x v="1"/>
  </r>
  <r>
    <s v="ORD100788"/>
    <s v="CUST95243"/>
    <x v="2"/>
    <x v="788"/>
    <d v="2026-05-05T07:41:24"/>
    <n v="17.000000003026798"/>
    <n v="183.78"/>
    <x v="0"/>
    <x v="2"/>
    <x v="0"/>
    <x v="1"/>
  </r>
  <r>
    <s v="ORD100789"/>
    <s v="CUST57268"/>
    <x v="7"/>
    <x v="789"/>
    <d v="2026-05-09T03:20:12"/>
    <n v="18.999999999068677"/>
    <n v="2313.87"/>
    <x v="2"/>
    <x v="1"/>
    <x v="1"/>
    <x v="1"/>
  </r>
  <r>
    <s v="ORD100790"/>
    <s v="CUST81524"/>
    <x v="0"/>
    <x v="790"/>
    <d v="2026-05-27T04:52:06"/>
    <n v="14.00000000372529"/>
    <n v="1897.62"/>
    <x v="2"/>
    <x v="1"/>
    <x v="1"/>
    <x v="1"/>
  </r>
  <r>
    <s v="ORD100791"/>
    <s v="CUST82746"/>
    <x v="1"/>
    <x v="791"/>
    <d v="2026-05-12T16:12:39"/>
    <n v="14.99999999650754"/>
    <n v="1843.73"/>
    <x v="2"/>
    <x v="0"/>
    <x v="4"/>
    <x v="1"/>
  </r>
  <r>
    <s v="ORD100792"/>
    <s v="CUST77733"/>
    <x v="2"/>
    <x v="792"/>
    <d v="2026-05-03T17:46:48"/>
    <n v="14.00000000372529"/>
    <n v="1451.9"/>
    <x v="1"/>
    <x v="0"/>
    <x v="2"/>
    <x v="1"/>
  </r>
  <r>
    <s v="ORD100793"/>
    <s v="CUST64657"/>
    <x v="4"/>
    <x v="793"/>
    <d v="2026-05-08T02:48:42"/>
    <n v="17.999999995809048"/>
    <n v="246.4"/>
    <x v="0"/>
    <x v="1"/>
    <x v="4"/>
    <x v="1"/>
  </r>
  <r>
    <s v="ORD100794"/>
    <s v="CUST44164"/>
    <x v="7"/>
    <x v="794"/>
    <d v="2026-05-09T20:10:52"/>
    <n v="36.000000002095476"/>
    <n v="1234.5899999999999"/>
    <x v="1"/>
    <x v="0"/>
    <x v="5"/>
    <x v="0"/>
  </r>
  <r>
    <s v="ORD100795"/>
    <s v="CUST26734"/>
    <x v="7"/>
    <x v="795"/>
    <d v="2026-05-01T22:00:27"/>
    <n v="18.999999999068677"/>
    <n v="504.79"/>
    <x v="1"/>
    <x v="0"/>
    <x v="4"/>
    <x v="1"/>
  </r>
  <r>
    <s v="ORD100796"/>
    <s v="CUST53092"/>
    <x v="4"/>
    <x v="796"/>
    <d v="2026-05-27T12:12:02"/>
    <n v="17.000000003026798"/>
    <n v="222.89"/>
    <x v="0"/>
    <x v="0"/>
    <x v="4"/>
    <x v="1"/>
  </r>
  <r>
    <s v="ORD100797"/>
    <s v="CUST82616"/>
    <x v="0"/>
    <x v="797"/>
    <d v="2026-05-28T08:00:30"/>
    <n v="9.0000000083819032"/>
    <n v="2475.88"/>
    <x v="2"/>
    <x v="2"/>
    <x v="5"/>
    <x v="1"/>
  </r>
  <r>
    <s v="ORD100798"/>
    <s v="CUST34953"/>
    <x v="1"/>
    <x v="798"/>
    <d v="2026-05-25T12:27:51"/>
    <n v="50.000000005820766"/>
    <n v="2040.35"/>
    <x v="2"/>
    <x v="0"/>
    <x v="0"/>
    <x v="0"/>
  </r>
  <r>
    <s v="ORD100799"/>
    <s v="CUST28564"/>
    <x v="7"/>
    <x v="799"/>
    <d v="2026-05-07T13:27:16"/>
    <n v="18.999999999068677"/>
    <n v="1597.36"/>
    <x v="2"/>
    <x v="0"/>
    <x v="4"/>
    <x v="1"/>
  </r>
  <r>
    <s v="ORD100800"/>
    <s v="CUST72521"/>
    <x v="4"/>
    <x v="800"/>
    <d v="2026-05-31T08:06:54"/>
    <n v="8.0000000051222742"/>
    <n v="787.36"/>
    <x v="1"/>
    <x v="2"/>
    <x v="4"/>
    <x v="1"/>
  </r>
  <r>
    <s v="ORD100801"/>
    <s v="CUST84454"/>
    <x v="6"/>
    <x v="801"/>
    <d v="2026-05-06T10:18:56"/>
    <n v="40.000000004656613"/>
    <n v="297.02"/>
    <x v="0"/>
    <x v="2"/>
    <x v="4"/>
    <x v="0"/>
  </r>
  <r>
    <s v="ORD100802"/>
    <s v="CUST29710"/>
    <x v="2"/>
    <x v="802"/>
    <d v="2026-05-27T08:22:00"/>
    <n v="10.000000001164153"/>
    <n v="1312.43"/>
    <x v="1"/>
    <x v="2"/>
    <x v="1"/>
    <x v="1"/>
  </r>
  <r>
    <s v="ORD100803"/>
    <s v="CUST95631"/>
    <x v="5"/>
    <x v="803"/>
    <d v="2026-05-01T18:45:07"/>
    <n v="11.999999997206032"/>
    <n v="2142.4699999999998"/>
    <x v="2"/>
    <x v="0"/>
    <x v="3"/>
    <x v="1"/>
  </r>
  <r>
    <s v="ORD100804"/>
    <s v="CUST27026"/>
    <x v="4"/>
    <x v="804"/>
    <d v="2026-05-01T12:59:13"/>
    <n v="18.000000006286427"/>
    <n v="765.84"/>
    <x v="1"/>
    <x v="0"/>
    <x v="1"/>
    <x v="1"/>
  </r>
  <r>
    <s v="ORD100805"/>
    <s v="CUST39887"/>
    <x v="1"/>
    <x v="805"/>
    <d v="2026-05-21T13:39:06"/>
    <n v="15.999999999767169"/>
    <n v="417.09"/>
    <x v="0"/>
    <x v="0"/>
    <x v="3"/>
    <x v="1"/>
  </r>
  <r>
    <s v="ORD100806"/>
    <s v="CUST39555"/>
    <x v="4"/>
    <x v="806"/>
    <d v="2026-05-10T13:53:37"/>
    <n v="11.999999997206032"/>
    <n v="773.33"/>
    <x v="1"/>
    <x v="0"/>
    <x v="3"/>
    <x v="1"/>
  </r>
  <r>
    <s v="ORD100807"/>
    <s v="CUST93772"/>
    <x v="4"/>
    <x v="807"/>
    <d v="2026-05-17T09:12:34"/>
    <n v="18.000000006286427"/>
    <n v="2157.86"/>
    <x v="2"/>
    <x v="2"/>
    <x v="0"/>
    <x v="1"/>
  </r>
  <r>
    <s v="ORD100808"/>
    <s v="CUST59824"/>
    <x v="0"/>
    <x v="808"/>
    <d v="2026-05-28T18:32:39"/>
    <n v="9.0000000083819032"/>
    <n v="133.09"/>
    <x v="0"/>
    <x v="0"/>
    <x v="5"/>
    <x v="1"/>
  </r>
  <r>
    <s v="ORD100809"/>
    <s v="CUST31164"/>
    <x v="3"/>
    <x v="809"/>
    <d v="2026-05-18T21:44:48"/>
    <n v="18.999999999068677"/>
    <n v="366.72"/>
    <x v="0"/>
    <x v="0"/>
    <x v="4"/>
    <x v="1"/>
  </r>
  <r>
    <s v="ORD100810"/>
    <s v="CUST52530"/>
    <x v="5"/>
    <x v="810"/>
    <d v="2026-05-14T13:54:50"/>
    <n v="18.999999999068677"/>
    <n v="518.07000000000005"/>
    <x v="1"/>
    <x v="0"/>
    <x v="4"/>
    <x v="1"/>
  </r>
  <r>
    <s v="ORD100811"/>
    <s v="CUST35525"/>
    <x v="3"/>
    <x v="811"/>
    <d v="2026-05-31T05:42:35"/>
    <n v="19.000000009546056"/>
    <n v="1519.25"/>
    <x v="2"/>
    <x v="2"/>
    <x v="3"/>
    <x v="1"/>
  </r>
  <r>
    <s v="ORD100812"/>
    <s v="CUST93147"/>
    <x v="3"/>
    <x v="812"/>
    <d v="2026-05-31T08:30:36"/>
    <n v="11.000000004423782"/>
    <n v="461.73"/>
    <x v="0"/>
    <x v="2"/>
    <x v="0"/>
    <x v="1"/>
  </r>
  <r>
    <s v="ORD100813"/>
    <s v="CUST74548"/>
    <x v="3"/>
    <x v="813"/>
    <m/>
    <s v=" "/>
    <n v="1170.97"/>
    <x v="1"/>
    <x v="0"/>
    <x v="5"/>
    <x v="2"/>
  </r>
  <r>
    <s v="ORD100814"/>
    <s v="CUST99471"/>
    <x v="1"/>
    <x v="814"/>
    <d v="2026-05-09T21:22:47"/>
    <n v="15.000000006984919"/>
    <n v="2037.82"/>
    <x v="2"/>
    <x v="0"/>
    <x v="1"/>
    <x v="1"/>
  </r>
  <r>
    <s v="ORD100815"/>
    <s v="CUST98135"/>
    <x v="5"/>
    <x v="815"/>
    <m/>
    <s v=" "/>
    <n v="726.01"/>
    <x v="1"/>
    <x v="0"/>
    <x v="5"/>
    <x v="2"/>
  </r>
  <r>
    <s v="ORD100816"/>
    <s v="CUST49581"/>
    <x v="3"/>
    <x v="816"/>
    <d v="2026-05-11T04:04:32"/>
    <n v="50.999999998603016"/>
    <n v="1780.86"/>
    <x v="2"/>
    <x v="1"/>
    <x v="5"/>
    <x v="0"/>
  </r>
  <r>
    <s v="ORD100817"/>
    <s v="CUST88494"/>
    <x v="6"/>
    <x v="817"/>
    <d v="2026-05-26T11:11:35"/>
    <n v="20.000000002328306"/>
    <n v="1262.8"/>
    <x v="1"/>
    <x v="2"/>
    <x v="3"/>
    <x v="1"/>
  </r>
  <r>
    <s v="ORD100818"/>
    <s v="CUST69856"/>
    <x v="3"/>
    <x v="818"/>
    <d v="2026-05-04T05:40:40"/>
    <n v="15.999999999767169"/>
    <n v="2017.49"/>
    <x v="2"/>
    <x v="2"/>
    <x v="1"/>
    <x v="1"/>
  </r>
  <r>
    <s v="ORD100819"/>
    <s v="CUST79049"/>
    <x v="0"/>
    <x v="819"/>
    <d v="2026-05-01T03:01:09"/>
    <n v="8.9999999979045242"/>
    <n v="2167.83"/>
    <x v="2"/>
    <x v="1"/>
    <x v="0"/>
    <x v="1"/>
  </r>
  <r>
    <s v="ORD100820"/>
    <s v="CUST78028"/>
    <x v="4"/>
    <x v="820"/>
    <d v="2026-05-31T19:40:05"/>
    <n v="13.000000000465661"/>
    <n v="921.84"/>
    <x v="1"/>
    <x v="0"/>
    <x v="1"/>
    <x v="1"/>
  </r>
  <r>
    <s v="ORD100821"/>
    <s v="CUST58974"/>
    <x v="6"/>
    <x v="821"/>
    <d v="2026-05-05T08:23:23"/>
    <n v="8.9999999979045242"/>
    <n v="301.56"/>
    <x v="0"/>
    <x v="2"/>
    <x v="3"/>
    <x v="1"/>
  </r>
  <r>
    <s v="ORD100822"/>
    <s v="CUST97139"/>
    <x v="7"/>
    <x v="822"/>
    <d v="2026-05-06T19:33:46"/>
    <n v="30.99999999627471"/>
    <n v="447.17"/>
    <x v="0"/>
    <x v="0"/>
    <x v="1"/>
    <x v="0"/>
  </r>
  <r>
    <s v="ORD100823"/>
    <s v="CUST76207"/>
    <x v="4"/>
    <x v="823"/>
    <d v="2026-05-25T12:55:41"/>
    <n v="15.999999999767169"/>
    <n v="2340.46"/>
    <x v="2"/>
    <x v="0"/>
    <x v="1"/>
    <x v="1"/>
  </r>
  <r>
    <s v="ORD100824"/>
    <s v="CUST60026"/>
    <x v="0"/>
    <x v="824"/>
    <d v="2026-05-19T22:58:03"/>
    <n v="20.000000002328306"/>
    <n v="468.96"/>
    <x v="0"/>
    <x v="0"/>
    <x v="4"/>
    <x v="1"/>
  </r>
  <r>
    <s v="ORD100825"/>
    <s v="CUST94531"/>
    <x v="5"/>
    <x v="825"/>
    <d v="2026-05-12T20:51:28"/>
    <n v="19.999999991850927"/>
    <n v="1289.28"/>
    <x v="1"/>
    <x v="0"/>
    <x v="4"/>
    <x v="1"/>
  </r>
  <r>
    <s v="ORD100826"/>
    <s v="CUST27894"/>
    <x v="6"/>
    <x v="826"/>
    <d v="2026-05-01T07:07:42"/>
    <n v="13.000000000465661"/>
    <n v="2483.61"/>
    <x v="2"/>
    <x v="2"/>
    <x v="1"/>
    <x v="1"/>
  </r>
  <r>
    <s v="ORD100827"/>
    <s v="CUST99905"/>
    <x v="2"/>
    <x v="827"/>
    <m/>
    <s v=" "/>
    <n v="1947.88"/>
    <x v="2"/>
    <x v="0"/>
    <x v="4"/>
    <x v="2"/>
  </r>
  <r>
    <s v="ORD100828"/>
    <s v="CUST33006"/>
    <x v="7"/>
    <x v="828"/>
    <d v="2026-05-15T19:24:43"/>
    <n v="14.00000000372529"/>
    <n v="670.07"/>
    <x v="1"/>
    <x v="0"/>
    <x v="1"/>
    <x v="1"/>
  </r>
  <r>
    <s v="ORD100829"/>
    <s v="CUST47235"/>
    <x v="1"/>
    <x v="829"/>
    <m/>
    <s v=" "/>
    <n v="1155.44"/>
    <x v="1"/>
    <x v="0"/>
    <x v="3"/>
    <x v="2"/>
  </r>
  <r>
    <s v="ORD100830"/>
    <s v="CUST47659"/>
    <x v="1"/>
    <x v="830"/>
    <d v="2026-05-01T05:20:17"/>
    <n v="14.99999999650754"/>
    <n v="1629.18"/>
    <x v="2"/>
    <x v="2"/>
    <x v="0"/>
    <x v="1"/>
  </r>
  <r>
    <s v="ORD100831"/>
    <s v="CUST54687"/>
    <x v="0"/>
    <x v="831"/>
    <d v="2026-05-26T11:52:25"/>
    <n v="10.000000001164153"/>
    <n v="605.05999999999995"/>
    <x v="1"/>
    <x v="2"/>
    <x v="3"/>
    <x v="1"/>
  </r>
  <r>
    <s v="ORD100832"/>
    <s v="CUST30641"/>
    <x v="5"/>
    <x v="832"/>
    <d v="2026-05-26T18:24:33"/>
    <n v="11.999999997206032"/>
    <n v="1861.47"/>
    <x v="2"/>
    <x v="0"/>
    <x v="5"/>
    <x v="1"/>
  </r>
  <r>
    <s v="ORD100833"/>
    <s v="CUST40585"/>
    <x v="3"/>
    <x v="833"/>
    <d v="2026-05-01T23:56:04"/>
    <n v="11.000000004423782"/>
    <n v="927.18"/>
    <x v="1"/>
    <x v="0"/>
    <x v="3"/>
    <x v="1"/>
  </r>
  <r>
    <s v="ORD100834"/>
    <s v="CUST51439"/>
    <x v="3"/>
    <x v="834"/>
    <d v="2026-05-06T17:34:46"/>
    <n v="15.999999999767169"/>
    <n v="1640.43"/>
    <x v="2"/>
    <x v="0"/>
    <x v="1"/>
    <x v="1"/>
  </r>
  <r>
    <s v="ORD100835"/>
    <s v="CUST42782"/>
    <x v="0"/>
    <x v="835"/>
    <d v="2026-05-23T12:00:17"/>
    <n v="8.0000000051222742"/>
    <n v="1912.16"/>
    <x v="2"/>
    <x v="0"/>
    <x v="4"/>
    <x v="1"/>
  </r>
  <r>
    <s v="ORD100836"/>
    <s v="CUST92350"/>
    <x v="5"/>
    <x v="836"/>
    <d v="2026-05-15T19:27:29"/>
    <n v="14.99999999650754"/>
    <n v="377.39"/>
    <x v="0"/>
    <x v="0"/>
    <x v="0"/>
    <x v="1"/>
  </r>
  <r>
    <s v="ORD100837"/>
    <s v="CUST29838"/>
    <x v="4"/>
    <x v="837"/>
    <m/>
    <s v=" "/>
    <n v="501.24"/>
    <x v="1"/>
    <x v="0"/>
    <x v="4"/>
    <x v="2"/>
  </r>
  <r>
    <s v="ORD100838"/>
    <s v="CUST40517"/>
    <x v="4"/>
    <x v="838"/>
    <d v="2026-05-12T13:40:06"/>
    <n v="8.0000000051222742"/>
    <n v="1055.99"/>
    <x v="1"/>
    <x v="0"/>
    <x v="3"/>
    <x v="1"/>
  </r>
  <r>
    <s v="ORD100839"/>
    <s v="CUST20350"/>
    <x v="4"/>
    <x v="839"/>
    <d v="2026-05-05T16:27:21"/>
    <n v="8.9999999979045242"/>
    <n v="822.28"/>
    <x v="1"/>
    <x v="0"/>
    <x v="1"/>
    <x v="1"/>
  </r>
  <r>
    <s v="ORD100840"/>
    <s v="CUST73545"/>
    <x v="7"/>
    <x v="840"/>
    <d v="2026-05-08T16:34:56"/>
    <n v="17.999999995809048"/>
    <n v="1889.76"/>
    <x v="2"/>
    <x v="0"/>
    <x v="0"/>
    <x v="1"/>
  </r>
  <r>
    <s v="ORD100841"/>
    <s v="CUST79048"/>
    <x v="4"/>
    <x v="841"/>
    <d v="2026-05-17T22:47:24"/>
    <n v="18.999999999068677"/>
    <n v="1904.83"/>
    <x v="2"/>
    <x v="0"/>
    <x v="2"/>
    <x v="1"/>
  </r>
  <r>
    <s v="ORD100842"/>
    <s v="CUST97832"/>
    <x v="2"/>
    <x v="842"/>
    <d v="2026-05-31T08:06:21"/>
    <n v="17.999999995809048"/>
    <n v="1377.05"/>
    <x v="1"/>
    <x v="2"/>
    <x v="5"/>
    <x v="1"/>
  </r>
  <r>
    <s v="ORD100843"/>
    <s v="CUST81592"/>
    <x v="6"/>
    <x v="843"/>
    <d v="2026-05-30T21:48:57"/>
    <n v="18.999999999068677"/>
    <n v="1010.52"/>
    <x v="1"/>
    <x v="0"/>
    <x v="0"/>
    <x v="1"/>
  </r>
  <r>
    <s v="ORD100844"/>
    <s v="CUST58175"/>
    <x v="1"/>
    <x v="844"/>
    <d v="2026-05-02T16:01:16"/>
    <n v="53.999999997904524"/>
    <n v="1792.46"/>
    <x v="2"/>
    <x v="0"/>
    <x v="1"/>
    <x v="0"/>
  </r>
  <r>
    <s v="ORD100845"/>
    <s v="CUST24278"/>
    <x v="4"/>
    <x v="845"/>
    <d v="2026-05-05T13:29:50"/>
    <n v="49.000000002561137"/>
    <n v="1238.01"/>
    <x v="1"/>
    <x v="0"/>
    <x v="3"/>
    <x v="0"/>
  </r>
  <r>
    <s v="ORD100846"/>
    <s v="CUST50340"/>
    <x v="0"/>
    <x v="846"/>
    <d v="2026-05-15T21:57:14"/>
    <n v="13.000000000465661"/>
    <n v="447.36"/>
    <x v="0"/>
    <x v="0"/>
    <x v="2"/>
    <x v="1"/>
  </r>
  <r>
    <s v="ORD100847"/>
    <s v="CUST57762"/>
    <x v="0"/>
    <x v="847"/>
    <d v="2026-05-21T14:12:33"/>
    <n v="50.000000005820766"/>
    <n v="2187.67"/>
    <x v="2"/>
    <x v="0"/>
    <x v="0"/>
    <x v="0"/>
  </r>
  <r>
    <s v="ORD100848"/>
    <s v="CUST57056"/>
    <x v="3"/>
    <x v="848"/>
    <d v="2026-05-01T23:04:16"/>
    <n v="10.999999993946403"/>
    <n v="127.47"/>
    <x v="0"/>
    <x v="0"/>
    <x v="4"/>
    <x v="1"/>
  </r>
  <r>
    <s v="ORD100849"/>
    <s v="CUST79510"/>
    <x v="2"/>
    <x v="849"/>
    <d v="2026-05-16T09:19:25"/>
    <n v="14.00000000372529"/>
    <n v="2324.33"/>
    <x v="2"/>
    <x v="2"/>
    <x v="3"/>
    <x v="1"/>
  </r>
  <r>
    <s v="ORD100850"/>
    <s v="CUST29329"/>
    <x v="2"/>
    <x v="850"/>
    <d v="2026-05-22T02:43:59"/>
    <n v="7.9999999946448952"/>
    <n v="1176.17"/>
    <x v="1"/>
    <x v="1"/>
    <x v="5"/>
    <x v="1"/>
  </r>
  <r>
    <s v="ORD100851"/>
    <s v="CUST50595"/>
    <x v="7"/>
    <x v="851"/>
    <d v="2026-05-12T15:45:22"/>
    <n v="24.999999997671694"/>
    <n v="1727.38"/>
    <x v="2"/>
    <x v="0"/>
    <x v="2"/>
    <x v="0"/>
  </r>
  <r>
    <s v="ORD100852"/>
    <s v="CUST54675"/>
    <x v="4"/>
    <x v="852"/>
    <d v="2026-05-14T18:29:11"/>
    <n v="11.999999997206032"/>
    <n v="2407.23"/>
    <x v="2"/>
    <x v="0"/>
    <x v="2"/>
    <x v="1"/>
  </r>
  <r>
    <s v="ORD100853"/>
    <s v="CUST97304"/>
    <x v="4"/>
    <x v="853"/>
    <d v="2026-05-13T15:56:12"/>
    <n v="8.9999999979045242"/>
    <n v="1737.9"/>
    <x v="2"/>
    <x v="0"/>
    <x v="3"/>
    <x v="1"/>
  </r>
  <r>
    <s v="ORD100854"/>
    <s v="CUST45928"/>
    <x v="7"/>
    <x v="854"/>
    <d v="2026-05-16T23:34:55"/>
    <n v="18.999999999068677"/>
    <n v="197.44"/>
    <x v="0"/>
    <x v="0"/>
    <x v="1"/>
    <x v="1"/>
  </r>
  <r>
    <s v="ORD100855"/>
    <s v="CUST75723"/>
    <x v="2"/>
    <x v="855"/>
    <d v="2026-05-17T06:47:12"/>
    <n v="33.000000002793968"/>
    <n v="2301.5100000000002"/>
    <x v="2"/>
    <x v="2"/>
    <x v="3"/>
    <x v="0"/>
  </r>
  <r>
    <s v="ORD100856"/>
    <s v="CUST35043"/>
    <x v="6"/>
    <x v="856"/>
    <d v="2026-05-16T19:35:09"/>
    <n v="13.000000000465661"/>
    <n v="1628.82"/>
    <x v="2"/>
    <x v="0"/>
    <x v="2"/>
    <x v="1"/>
  </r>
  <r>
    <s v="ORD100857"/>
    <s v="CUST91376"/>
    <x v="1"/>
    <x v="857"/>
    <d v="2026-05-07T04:16:05"/>
    <n v="17.999999995809048"/>
    <n v="2393.84"/>
    <x v="2"/>
    <x v="1"/>
    <x v="4"/>
    <x v="1"/>
  </r>
  <r>
    <s v="ORD100858"/>
    <s v="CUST49466"/>
    <x v="5"/>
    <x v="858"/>
    <d v="2026-06-01T19:19:48"/>
    <n v="19.000000009546056"/>
    <n v="1135.29"/>
    <x v="1"/>
    <x v="0"/>
    <x v="5"/>
    <x v="1"/>
  </r>
  <r>
    <s v="ORD100859"/>
    <s v="CUST39528"/>
    <x v="7"/>
    <x v="859"/>
    <d v="2026-05-03T15:38:39"/>
    <n v="15.000000006984919"/>
    <n v="2302.3000000000002"/>
    <x v="2"/>
    <x v="0"/>
    <x v="4"/>
    <x v="1"/>
  </r>
  <r>
    <s v="ORD100860"/>
    <s v="CUST54816"/>
    <x v="3"/>
    <x v="860"/>
    <d v="2026-05-21T16:12:56"/>
    <n v="15.000000006984919"/>
    <n v="2159.0500000000002"/>
    <x v="2"/>
    <x v="0"/>
    <x v="2"/>
    <x v="1"/>
  </r>
  <r>
    <s v="ORD100861"/>
    <s v="CUST38643"/>
    <x v="1"/>
    <x v="861"/>
    <d v="2026-05-18T15:26:48"/>
    <n v="14.99999999650754"/>
    <n v="902.92"/>
    <x v="1"/>
    <x v="0"/>
    <x v="4"/>
    <x v="1"/>
  </r>
  <r>
    <s v="ORD100862"/>
    <s v="CUST29359"/>
    <x v="3"/>
    <x v="862"/>
    <d v="2026-05-18T12:23:48"/>
    <n v="8.9999999979045242"/>
    <n v="740.01"/>
    <x v="1"/>
    <x v="0"/>
    <x v="1"/>
    <x v="1"/>
  </r>
  <r>
    <s v="ORD100863"/>
    <s v="CUST27816"/>
    <x v="2"/>
    <x v="863"/>
    <d v="2026-05-09T01:42:51"/>
    <n v="8.9999999979045242"/>
    <n v="334.86"/>
    <x v="0"/>
    <x v="1"/>
    <x v="3"/>
    <x v="1"/>
  </r>
  <r>
    <s v="ORD100864"/>
    <s v="CUST41747"/>
    <x v="1"/>
    <x v="864"/>
    <d v="2026-05-28T15:50:02"/>
    <n v="15.999999999767169"/>
    <n v="1669.42"/>
    <x v="2"/>
    <x v="0"/>
    <x v="2"/>
    <x v="1"/>
  </r>
  <r>
    <s v="ORD100865"/>
    <s v="CUST60319"/>
    <x v="2"/>
    <x v="865"/>
    <d v="2026-05-23T13:35:43"/>
    <n v="39.999999994179234"/>
    <n v="1037.77"/>
    <x v="1"/>
    <x v="0"/>
    <x v="5"/>
    <x v="0"/>
  </r>
  <r>
    <s v="ORD100866"/>
    <s v="CUST97993"/>
    <x v="0"/>
    <x v="866"/>
    <d v="2026-05-12T14:26:44"/>
    <n v="18.999999999068677"/>
    <n v="1954.56"/>
    <x v="2"/>
    <x v="0"/>
    <x v="0"/>
    <x v="1"/>
  </r>
  <r>
    <s v="ORD100867"/>
    <s v="CUST94607"/>
    <x v="3"/>
    <x v="867"/>
    <d v="2026-05-30T10:59:00"/>
    <n v="14.99999999650754"/>
    <n v="1896.82"/>
    <x v="2"/>
    <x v="2"/>
    <x v="5"/>
    <x v="1"/>
  </r>
  <r>
    <s v="ORD100868"/>
    <s v="CUST57828"/>
    <x v="7"/>
    <x v="868"/>
    <d v="2026-05-01T21:23:24"/>
    <n v="10.000000001164153"/>
    <n v="1861.35"/>
    <x v="2"/>
    <x v="0"/>
    <x v="1"/>
    <x v="1"/>
  </r>
  <r>
    <s v="ORD100869"/>
    <s v="CUST77560"/>
    <x v="6"/>
    <x v="869"/>
    <d v="2026-05-07T10:38:39"/>
    <n v="14.99999999650754"/>
    <n v="1511.94"/>
    <x v="2"/>
    <x v="2"/>
    <x v="0"/>
    <x v="1"/>
  </r>
  <r>
    <s v="ORD100870"/>
    <s v="CUST36299"/>
    <x v="1"/>
    <x v="870"/>
    <d v="2026-05-17T05:47:16"/>
    <n v="11.999999997206032"/>
    <n v="566.82000000000005"/>
    <x v="1"/>
    <x v="2"/>
    <x v="4"/>
    <x v="1"/>
  </r>
  <r>
    <s v="ORD100871"/>
    <s v="CUST81433"/>
    <x v="4"/>
    <x v="871"/>
    <d v="2026-05-16T08:40:39"/>
    <n v="10.000000001164153"/>
    <n v="908.78"/>
    <x v="1"/>
    <x v="2"/>
    <x v="4"/>
    <x v="1"/>
  </r>
  <r>
    <s v="ORD100872"/>
    <s v="CUST59857"/>
    <x v="7"/>
    <x v="872"/>
    <d v="2026-05-22T11:21:31"/>
    <n v="10.000000001164153"/>
    <n v="1755.67"/>
    <x v="2"/>
    <x v="2"/>
    <x v="5"/>
    <x v="1"/>
  </r>
  <r>
    <s v="ORD100873"/>
    <s v="CUST72757"/>
    <x v="6"/>
    <x v="873"/>
    <m/>
    <s v=" "/>
    <n v="530.79999999999995"/>
    <x v="1"/>
    <x v="0"/>
    <x v="2"/>
    <x v="2"/>
  </r>
  <r>
    <s v="ORD100874"/>
    <s v="CUST55683"/>
    <x v="5"/>
    <x v="874"/>
    <d v="2026-05-24T12:20:25"/>
    <n v="25.999999990453944"/>
    <n v="1413.27"/>
    <x v="1"/>
    <x v="0"/>
    <x v="4"/>
    <x v="0"/>
  </r>
  <r>
    <s v="ORD100875"/>
    <s v="CUST85597"/>
    <x v="6"/>
    <x v="875"/>
    <d v="2026-05-18T14:28:36"/>
    <n v="17.000000003026798"/>
    <n v="1713.72"/>
    <x v="2"/>
    <x v="0"/>
    <x v="2"/>
    <x v="1"/>
  </r>
  <r>
    <s v="ORD100876"/>
    <s v="CUST90776"/>
    <x v="1"/>
    <x v="876"/>
    <d v="2026-05-09T18:52:14"/>
    <n v="9.0000000083819032"/>
    <n v="2095.0500000000002"/>
    <x v="2"/>
    <x v="0"/>
    <x v="5"/>
    <x v="1"/>
  </r>
  <r>
    <s v="ORD100877"/>
    <s v="CUST84722"/>
    <x v="3"/>
    <x v="877"/>
    <d v="2026-05-07T23:53:51"/>
    <n v="36.000000002095476"/>
    <n v="127.71"/>
    <x v="0"/>
    <x v="0"/>
    <x v="2"/>
    <x v="0"/>
  </r>
  <r>
    <s v="ORD100878"/>
    <s v="CUST77377"/>
    <x v="3"/>
    <x v="878"/>
    <d v="2026-05-16T17:39:54"/>
    <n v="11.999999997206032"/>
    <n v="333.48"/>
    <x v="0"/>
    <x v="0"/>
    <x v="1"/>
    <x v="1"/>
  </r>
  <r>
    <s v="ORD100879"/>
    <s v="CUST30543"/>
    <x v="3"/>
    <x v="879"/>
    <d v="2026-05-25T06:18:51"/>
    <n v="8.9999999979045242"/>
    <n v="348.38"/>
    <x v="0"/>
    <x v="2"/>
    <x v="0"/>
    <x v="1"/>
  </r>
  <r>
    <s v="ORD100880"/>
    <s v="CUST98385"/>
    <x v="5"/>
    <x v="880"/>
    <d v="2026-05-10T16:07:00"/>
    <n v="15.999999999767169"/>
    <n v="1169.26"/>
    <x v="1"/>
    <x v="0"/>
    <x v="5"/>
    <x v="1"/>
  </r>
  <r>
    <s v="ORD100881"/>
    <s v="CUST25224"/>
    <x v="0"/>
    <x v="881"/>
    <d v="2026-05-12T13:50:08"/>
    <n v="18.999999999068677"/>
    <n v="625.6"/>
    <x v="1"/>
    <x v="0"/>
    <x v="0"/>
    <x v="1"/>
  </r>
  <r>
    <s v="ORD100882"/>
    <s v="CUST76626"/>
    <x v="1"/>
    <x v="882"/>
    <d v="2026-05-21T15:33:16"/>
    <n v="14.00000000372529"/>
    <n v="778.91"/>
    <x v="1"/>
    <x v="0"/>
    <x v="2"/>
    <x v="1"/>
  </r>
  <r>
    <s v="ORD100883"/>
    <s v="CUST62247"/>
    <x v="2"/>
    <x v="883"/>
    <d v="2026-05-04T12:16:44"/>
    <n v="10.000000001164153"/>
    <n v="562.39"/>
    <x v="1"/>
    <x v="0"/>
    <x v="3"/>
    <x v="1"/>
  </r>
  <r>
    <s v="ORD100884"/>
    <s v="CUST99129"/>
    <x v="2"/>
    <x v="884"/>
    <d v="2026-05-11T01:22:52"/>
    <n v="8.9999999979045242"/>
    <n v="155.88"/>
    <x v="0"/>
    <x v="1"/>
    <x v="1"/>
    <x v="1"/>
  </r>
  <r>
    <s v="ORD100885"/>
    <s v="CUST52816"/>
    <x v="2"/>
    <x v="885"/>
    <d v="2026-05-17T16:11:40"/>
    <n v="17.999999995809048"/>
    <n v="319.66000000000003"/>
    <x v="0"/>
    <x v="0"/>
    <x v="2"/>
    <x v="1"/>
  </r>
  <r>
    <s v="ORD100886"/>
    <s v="CUST23390"/>
    <x v="5"/>
    <x v="886"/>
    <d v="2026-05-07T15:07:21"/>
    <n v="20.000000002328306"/>
    <n v="2351.41"/>
    <x v="2"/>
    <x v="0"/>
    <x v="5"/>
    <x v="1"/>
  </r>
  <r>
    <s v="ORD100887"/>
    <s v="CUST31970"/>
    <x v="3"/>
    <x v="887"/>
    <d v="2026-05-17T11:31:35"/>
    <n v="8.0000000051222742"/>
    <n v="1674.85"/>
    <x v="2"/>
    <x v="2"/>
    <x v="2"/>
    <x v="1"/>
  </r>
  <r>
    <s v="ORD100888"/>
    <s v="CUST50005"/>
    <x v="4"/>
    <x v="888"/>
    <d v="2026-05-17T11:19:26"/>
    <n v="17.999999995809048"/>
    <n v="2104.1"/>
    <x v="2"/>
    <x v="2"/>
    <x v="3"/>
    <x v="1"/>
  </r>
  <r>
    <s v="ORD100889"/>
    <s v="CUST95392"/>
    <x v="4"/>
    <x v="889"/>
    <d v="2026-05-08T12:07:43"/>
    <n v="11.999999997206032"/>
    <n v="2380.17"/>
    <x v="2"/>
    <x v="0"/>
    <x v="4"/>
    <x v="1"/>
  </r>
  <r>
    <s v="ORD100890"/>
    <s v="CUST96955"/>
    <x v="5"/>
    <x v="890"/>
    <d v="2026-05-13T18:46:41"/>
    <n v="9.9999999906867743"/>
    <n v="1630.4"/>
    <x v="2"/>
    <x v="0"/>
    <x v="2"/>
    <x v="1"/>
  </r>
  <r>
    <s v="ORD100891"/>
    <s v="CUST22719"/>
    <x v="5"/>
    <x v="891"/>
    <d v="2026-05-12T09:37:20"/>
    <n v="14.99999999650754"/>
    <n v="1798.38"/>
    <x v="2"/>
    <x v="2"/>
    <x v="0"/>
    <x v="1"/>
  </r>
  <r>
    <s v="ORD100892"/>
    <s v="CUST55325"/>
    <x v="3"/>
    <x v="892"/>
    <d v="2026-06-02T00:15:56"/>
    <n v="47.000000006519258"/>
    <n v="386.95"/>
    <x v="0"/>
    <x v="0"/>
    <x v="5"/>
    <x v="0"/>
  </r>
  <r>
    <s v="ORD100893"/>
    <s v="CUST95529"/>
    <x v="3"/>
    <x v="893"/>
    <d v="2026-05-06T12:49:18"/>
    <n v="10.000000001164153"/>
    <n v="2154.46"/>
    <x v="2"/>
    <x v="0"/>
    <x v="3"/>
    <x v="1"/>
  </r>
  <r>
    <s v="ORD100894"/>
    <s v="CUST25273"/>
    <x v="5"/>
    <x v="894"/>
    <m/>
    <s v=" "/>
    <n v="410.78"/>
    <x v="0"/>
    <x v="0"/>
    <x v="4"/>
    <x v="2"/>
  </r>
  <r>
    <s v="ORD100895"/>
    <s v="CUST42962"/>
    <x v="1"/>
    <x v="895"/>
    <d v="2026-05-11T21:02:59"/>
    <n v="10.999999993946403"/>
    <n v="1674.35"/>
    <x v="2"/>
    <x v="0"/>
    <x v="0"/>
    <x v="1"/>
  </r>
  <r>
    <s v="ORD100896"/>
    <s v="CUST81669"/>
    <x v="7"/>
    <x v="896"/>
    <d v="2026-05-22T13:59:39"/>
    <n v="18.999999999068677"/>
    <n v="2258.75"/>
    <x v="2"/>
    <x v="0"/>
    <x v="2"/>
    <x v="1"/>
  </r>
  <r>
    <s v="ORD100897"/>
    <s v="CUST88021"/>
    <x v="3"/>
    <x v="897"/>
    <d v="2026-05-26T02:13:10"/>
    <n v="8.0000000051222742"/>
    <n v="1457.57"/>
    <x v="1"/>
    <x v="1"/>
    <x v="0"/>
    <x v="1"/>
  </r>
  <r>
    <s v="ORD100898"/>
    <s v="CUST77963"/>
    <x v="4"/>
    <x v="898"/>
    <d v="2026-05-22T07:38:20"/>
    <n v="17.999999995809048"/>
    <n v="2420.1999999999998"/>
    <x v="2"/>
    <x v="2"/>
    <x v="4"/>
    <x v="1"/>
  </r>
  <r>
    <s v="ORD100899"/>
    <s v="CUST56458"/>
    <x v="7"/>
    <x v="899"/>
    <d v="2026-05-19T22:33:38"/>
    <n v="15.999999999767169"/>
    <n v="2249.4"/>
    <x v="2"/>
    <x v="0"/>
    <x v="2"/>
    <x v="1"/>
  </r>
  <r>
    <s v="ORD100900"/>
    <s v="CUST43788"/>
    <x v="4"/>
    <x v="900"/>
    <d v="2026-05-26T09:34:28"/>
    <n v="37.999999998137355"/>
    <n v="1768.57"/>
    <x v="2"/>
    <x v="2"/>
    <x v="2"/>
    <x v="0"/>
  </r>
  <r>
    <s v="ORD100901"/>
    <s v="CUST96720"/>
    <x v="2"/>
    <x v="901"/>
    <d v="2026-05-24T23:52:33"/>
    <n v="14.99999999650754"/>
    <n v="707.01"/>
    <x v="1"/>
    <x v="0"/>
    <x v="1"/>
    <x v="1"/>
  </r>
  <r>
    <s v="ORD100902"/>
    <s v="CUST77132"/>
    <x v="3"/>
    <x v="902"/>
    <d v="2026-05-29T13:38:11"/>
    <n v="27.999999996973202"/>
    <n v="1219.69"/>
    <x v="1"/>
    <x v="0"/>
    <x v="0"/>
    <x v="0"/>
  </r>
  <r>
    <s v="ORD100903"/>
    <s v="CUST84451"/>
    <x v="3"/>
    <x v="903"/>
    <d v="2026-05-02T05:04:15"/>
    <n v="18.000000006286427"/>
    <n v="2345.84"/>
    <x v="2"/>
    <x v="2"/>
    <x v="0"/>
    <x v="1"/>
  </r>
  <r>
    <s v="ORD100904"/>
    <s v="CUST31959"/>
    <x v="6"/>
    <x v="904"/>
    <d v="2026-05-18T00:04:47"/>
    <n v="19.999999991850927"/>
    <n v="1632.07"/>
    <x v="2"/>
    <x v="0"/>
    <x v="4"/>
    <x v="1"/>
  </r>
  <r>
    <s v="ORD100905"/>
    <s v="CUST81605"/>
    <x v="1"/>
    <x v="905"/>
    <d v="2026-05-06T06:26:25"/>
    <n v="15.999999999767169"/>
    <n v="2313.4699999999998"/>
    <x v="2"/>
    <x v="2"/>
    <x v="4"/>
    <x v="1"/>
  </r>
  <r>
    <s v="ORD100906"/>
    <s v="CUST65607"/>
    <x v="7"/>
    <x v="906"/>
    <d v="2026-05-07T03:35:59"/>
    <n v="30.99999999627471"/>
    <n v="762.32"/>
    <x v="1"/>
    <x v="1"/>
    <x v="3"/>
    <x v="0"/>
  </r>
  <r>
    <s v="ORD100907"/>
    <s v="CUST73523"/>
    <x v="2"/>
    <x v="907"/>
    <d v="2026-05-31T17:17:01"/>
    <n v="14.00000000372529"/>
    <n v="1123.76"/>
    <x v="1"/>
    <x v="0"/>
    <x v="2"/>
    <x v="1"/>
  </r>
  <r>
    <s v="ORD100908"/>
    <s v="CUST63687"/>
    <x v="4"/>
    <x v="908"/>
    <d v="2026-05-26T17:07:05"/>
    <n v="18.999999999068677"/>
    <n v="2267.14"/>
    <x v="2"/>
    <x v="0"/>
    <x v="2"/>
    <x v="1"/>
  </r>
  <r>
    <s v="ORD100909"/>
    <s v="CUST62081"/>
    <x v="7"/>
    <x v="909"/>
    <d v="2026-05-07T08:51:09"/>
    <n v="11.999999997206032"/>
    <n v="1946.71"/>
    <x v="2"/>
    <x v="2"/>
    <x v="0"/>
    <x v="1"/>
  </r>
  <r>
    <s v="ORD100910"/>
    <s v="CUST33710"/>
    <x v="0"/>
    <x v="910"/>
    <d v="2026-05-06T21:52:56"/>
    <n v="53.000000005122274"/>
    <n v="875.17"/>
    <x v="1"/>
    <x v="0"/>
    <x v="1"/>
    <x v="0"/>
  </r>
  <r>
    <s v="ORD100911"/>
    <s v="CUST41079"/>
    <x v="2"/>
    <x v="911"/>
    <d v="2026-05-25T09:22:15"/>
    <n v="8.0000000051222742"/>
    <n v="487.72"/>
    <x v="0"/>
    <x v="2"/>
    <x v="4"/>
    <x v="1"/>
  </r>
  <r>
    <s v="ORD100912"/>
    <s v="CUST63228"/>
    <x v="4"/>
    <x v="912"/>
    <d v="2026-05-19T14:57:08"/>
    <n v="17.000000003026798"/>
    <n v="276.58999999999997"/>
    <x v="0"/>
    <x v="0"/>
    <x v="0"/>
    <x v="1"/>
  </r>
  <r>
    <s v="ORD100913"/>
    <s v="CUST73955"/>
    <x v="5"/>
    <x v="913"/>
    <d v="2026-05-09T17:01:10"/>
    <n v="8.0000000051222742"/>
    <n v="1964.05"/>
    <x v="2"/>
    <x v="0"/>
    <x v="3"/>
    <x v="1"/>
  </r>
  <r>
    <s v="ORD100914"/>
    <s v="CUST84942"/>
    <x v="1"/>
    <x v="914"/>
    <d v="2026-05-02T01:50:22"/>
    <n v="8.0000000051222742"/>
    <n v="1017.72"/>
    <x v="1"/>
    <x v="1"/>
    <x v="4"/>
    <x v="1"/>
  </r>
  <r>
    <s v="ORD100915"/>
    <s v="CUST57777"/>
    <x v="5"/>
    <x v="915"/>
    <d v="2026-05-21T15:49:55"/>
    <n v="19.999999991850927"/>
    <n v="897.37"/>
    <x v="1"/>
    <x v="0"/>
    <x v="5"/>
    <x v="1"/>
  </r>
  <r>
    <s v="ORD100916"/>
    <s v="CUST72488"/>
    <x v="0"/>
    <x v="916"/>
    <d v="2026-05-18T17:42:08"/>
    <n v="14.00000000372529"/>
    <n v="243.14"/>
    <x v="0"/>
    <x v="0"/>
    <x v="3"/>
    <x v="1"/>
  </r>
  <r>
    <s v="ORD100917"/>
    <s v="CUST92102"/>
    <x v="2"/>
    <x v="917"/>
    <d v="2026-05-12T18:58:29"/>
    <n v="20.000000002328306"/>
    <n v="2392.4499999999998"/>
    <x v="2"/>
    <x v="0"/>
    <x v="5"/>
    <x v="1"/>
  </r>
  <r>
    <s v="ORD100918"/>
    <s v="CUST24809"/>
    <x v="6"/>
    <x v="918"/>
    <d v="2026-05-28T16:51:40"/>
    <n v="11.000000004423782"/>
    <n v="734.2"/>
    <x v="1"/>
    <x v="0"/>
    <x v="3"/>
    <x v="1"/>
  </r>
  <r>
    <s v="ORD100919"/>
    <s v="CUST79614"/>
    <x v="0"/>
    <x v="919"/>
    <d v="2026-05-20T11:41:34"/>
    <n v="10.999999993946403"/>
    <n v="1156.3800000000001"/>
    <x v="1"/>
    <x v="2"/>
    <x v="1"/>
    <x v="1"/>
  </r>
  <r>
    <s v="ORD100920"/>
    <s v="CUST31542"/>
    <x v="2"/>
    <x v="920"/>
    <d v="2026-05-15T02:41:19"/>
    <n v="13.000000000465661"/>
    <n v="1279.1300000000001"/>
    <x v="1"/>
    <x v="1"/>
    <x v="2"/>
    <x v="1"/>
  </r>
  <r>
    <s v="ORD100921"/>
    <s v="CUST61224"/>
    <x v="4"/>
    <x v="921"/>
    <d v="2026-05-24T13:27:09"/>
    <n v="11.000000004423782"/>
    <n v="2327.61"/>
    <x v="2"/>
    <x v="0"/>
    <x v="4"/>
    <x v="1"/>
  </r>
  <r>
    <s v="ORD100922"/>
    <s v="CUST53082"/>
    <x v="3"/>
    <x v="922"/>
    <d v="2026-05-20T00:11:33"/>
    <n v="10.999999993946403"/>
    <n v="1563.72"/>
    <x v="2"/>
    <x v="0"/>
    <x v="3"/>
    <x v="1"/>
  </r>
  <r>
    <s v="ORD100923"/>
    <s v="CUST62372"/>
    <x v="1"/>
    <x v="923"/>
    <d v="2026-05-09T11:27:30"/>
    <n v="8.9999999979045242"/>
    <n v="527.26"/>
    <x v="1"/>
    <x v="2"/>
    <x v="2"/>
    <x v="1"/>
  </r>
  <r>
    <s v="ORD100924"/>
    <s v="CUST35194"/>
    <x v="5"/>
    <x v="924"/>
    <d v="2026-05-01T23:07:31"/>
    <n v="8.0000000051222742"/>
    <n v="1279.94"/>
    <x v="1"/>
    <x v="0"/>
    <x v="0"/>
    <x v="1"/>
  </r>
  <r>
    <s v="ORD100925"/>
    <s v="CUST72976"/>
    <x v="1"/>
    <x v="925"/>
    <d v="2026-05-31T09:14:49"/>
    <n v="13.999999993247911"/>
    <n v="444.29"/>
    <x v="0"/>
    <x v="2"/>
    <x v="2"/>
    <x v="1"/>
  </r>
  <r>
    <s v="ORD100926"/>
    <s v="CUST87449"/>
    <x v="0"/>
    <x v="926"/>
    <d v="2026-05-28T09:46:14"/>
    <n v="7.9999999946448952"/>
    <n v="1943.9"/>
    <x v="2"/>
    <x v="2"/>
    <x v="5"/>
    <x v="1"/>
  </r>
  <r>
    <s v="ORD100927"/>
    <s v="CUST20150"/>
    <x v="1"/>
    <x v="927"/>
    <d v="2026-05-01T17:31:12"/>
    <n v="8.0000000051222742"/>
    <n v="623.13"/>
    <x v="1"/>
    <x v="0"/>
    <x v="0"/>
    <x v="1"/>
  </r>
  <r>
    <s v="ORD100928"/>
    <s v="CUST91118"/>
    <x v="4"/>
    <x v="928"/>
    <d v="2026-05-27T17:40:25"/>
    <n v="13.000000000465661"/>
    <n v="1643.01"/>
    <x v="2"/>
    <x v="0"/>
    <x v="1"/>
    <x v="1"/>
  </r>
  <r>
    <s v="ORD100929"/>
    <s v="CUST80552"/>
    <x v="2"/>
    <x v="929"/>
    <d v="2026-05-16T05:56:47"/>
    <n v="11.000000004423782"/>
    <n v="2289.2600000000002"/>
    <x v="2"/>
    <x v="2"/>
    <x v="1"/>
    <x v="1"/>
  </r>
  <r>
    <s v="ORD100930"/>
    <s v="CUST74165"/>
    <x v="5"/>
    <x v="930"/>
    <d v="2026-05-25T12:32:16"/>
    <n v="17.999999995809048"/>
    <n v="1815.96"/>
    <x v="2"/>
    <x v="0"/>
    <x v="5"/>
    <x v="1"/>
  </r>
  <r>
    <s v="ORD100931"/>
    <s v="CUST27104"/>
    <x v="0"/>
    <x v="931"/>
    <d v="2026-05-06T14:09:15"/>
    <n v="29.000000000232831"/>
    <n v="346.89"/>
    <x v="0"/>
    <x v="0"/>
    <x v="0"/>
    <x v="0"/>
  </r>
  <r>
    <s v="ORD100932"/>
    <s v="CUST44586"/>
    <x v="3"/>
    <x v="932"/>
    <d v="2026-05-18T09:52:47"/>
    <n v="10.999999993946403"/>
    <n v="274.01"/>
    <x v="0"/>
    <x v="2"/>
    <x v="2"/>
    <x v="1"/>
  </r>
  <r>
    <s v="ORD100933"/>
    <s v="CUST87952"/>
    <x v="4"/>
    <x v="933"/>
    <d v="2026-05-18T13:21:54"/>
    <n v="8.9999999979045242"/>
    <n v="1470.23"/>
    <x v="1"/>
    <x v="0"/>
    <x v="5"/>
    <x v="1"/>
  </r>
  <r>
    <s v="ORD100934"/>
    <s v="CUST67419"/>
    <x v="1"/>
    <x v="934"/>
    <d v="2026-05-05T05:28:18"/>
    <n v="20.000000002328306"/>
    <n v="700.43"/>
    <x v="1"/>
    <x v="2"/>
    <x v="2"/>
    <x v="1"/>
  </r>
  <r>
    <s v="ORD100935"/>
    <s v="CUST85338"/>
    <x v="3"/>
    <x v="935"/>
    <d v="2026-05-08T20:47:39"/>
    <n v="18.000000006286427"/>
    <n v="1169.1199999999999"/>
    <x v="1"/>
    <x v="0"/>
    <x v="0"/>
    <x v="1"/>
  </r>
  <r>
    <s v="ORD100936"/>
    <s v="CUST77939"/>
    <x v="5"/>
    <x v="936"/>
    <d v="2026-05-29T08:54:39"/>
    <n v="10.000000001164153"/>
    <n v="2250.63"/>
    <x v="2"/>
    <x v="2"/>
    <x v="1"/>
    <x v="1"/>
  </r>
  <r>
    <s v="ORD100937"/>
    <s v="CUST26764"/>
    <x v="4"/>
    <x v="937"/>
    <d v="2026-06-01T06:39:01"/>
    <n v="18.999999999068677"/>
    <n v="456.25"/>
    <x v="0"/>
    <x v="2"/>
    <x v="2"/>
    <x v="1"/>
  </r>
  <r>
    <s v="ORD100938"/>
    <s v="CUST46680"/>
    <x v="3"/>
    <x v="938"/>
    <d v="2026-05-10T01:44:01"/>
    <n v="10.000000001164153"/>
    <n v="1635.8"/>
    <x v="2"/>
    <x v="1"/>
    <x v="2"/>
    <x v="1"/>
  </r>
  <r>
    <s v="ORD100939"/>
    <s v="CUST55003"/>
    <x v="3"/>
    <x v="939"/>
    <d v="2026-05-12T03:26:17"/>
    <n v="8.0000000051222742"/>
    <n v="2337.94"/>
    <x v="2"/>
    <x v="1"/>
    <x v="1"/>
    <x v="1"/>
  </r>
  <r>
    <s v="ORD100940"/>
    <s v="CUST91987"/>
    <x v="7"/>
    <x v="940"/>
    <d v="2026-05-09T22:42:46"/>
    <n v="13.999999993247911"/>
    <n v="1694.05"/>
    <x v="2"/>
    <x v="0"/>
    <x v="5"/>
    <x v="1"/>
  </r>
  <r>
    <s v="ORD100941"/>
    <s v="CUST37172"/>
    <x v="4"/>
    <x v="941"/>
    <d v="2026-05-01T07:21:09"/>
    <n v="15.999999999767169"/>
    <n v="738.45"/>
    <x v="1"/>
    <x v="2"/>
    <x v="3"/>
    <x v="1"/>
  </r>
  <r>
    <s v="ORD100942"/>
    <s v="CUST57752"/>
    <x v="0"/>
    <x v="942"/>
    <d v="2026-05-01T15:22:21"/>
    <n v="8.9999999979045242"/>
    <n v="1779.13"/>
    <x v="2"/>
    <x v="0"/>
    <x v="2"/>
    <x v="1"/>
  </r>
  <r>
    <s v="ORD100943"/>
    <s v="CUST77424"/>
    <x v="0"/>
    <x v="943"/>
    <d v="2026-05-27T10:03:51"/>
    <n v="13.000000000465661"/>
    <n v="2270.08"/>
    <x v="2"/>
    <x v="2"/>
    <x v="4"/>
    <x v="1"/>
  </r>
  <r>
    <s v="ORD100944"/>
    <s v="CUST83532"/>
    <x v="7"/>
    <x v="944"/>
    <d v="2026-06-01T11:42:44"/>
    <n v="13.000000000465661"/>
    <n v="1478.14"/>
    <x v="1"/>
    <x v="2"/>
    <x v="4"/>
    <x v="1"/>
  </r>
  <r>
    <s v="ORD100945"/>
    <s v="CUST35915"/>
    <x v="7"/>
    <x v="945"/>
    <d v="2026-05-03T10:21:53"/>
    <n v="15.999999999767169"/>
    <n v="1335.92"/>
    <x v="1"/>
    <x v="2"/>
    <x v="5"/>
    <x v="1"/>
  </r>
  <r>
    <s v="ORD100946"/>
    <s v="CUST23783"/>
    <x v="0"/>
    <x v="946"/>
    <d v="2026-05-10T01:54:49"/>
    <n v="36.999999994877726"/>
    <n v="2354.79"/>
    <x v="2"/>
    <x v="1"/>
    <x v="2"/>
    <x v="0"/>
  </r>
  <r>
    <s v="ORD100947"/>
    <s v="CUST99806"/>
    <x v="7"/>
    <x v="947"/>
    <d v="2026-05-26T02:51:30"/>
    <n v="17.000000003026798"/>
    <n v="1276.6300000000001"/>
    <x v="1"/>
    <x v="1"/>
    <x v="2"/>
    <x v="1"/>
  </r>
  <r>
    <s v="ORD100948"/>
    <s v="CUST51365"/>
    <x v="7"/>
    <x v="948"/>
    <m/>
    <s v=" "/>
    <n v="1145.54"/>
    <x v="1"/>
    <x v="0"/>
    <x v="3"/>
    <x v="2"/>
  </r>
  <r>
    <s v="ORD100949"/>
    <s v="CUST40758"/>
    <x v="0"/>
    <x v="949"/>
    <d v="2026-05-17T13:04:00"/>
    <n v="10.999999993946403"/>
    <n v="2124.7199999999998"/>
    <x v="2"/>
    <x v="0"/>
    <x v="0"/>
    <x v="1"/>
  </r>
  <r>
    <s v="ORD100950"/>
    <s v="CUST60730"/>
    <x v="4"/>
    <x v="950"/>
    <d v="2026-05-08T22:31:24"/>
    <n v="15.999999999767169"/>
    <n v="1973.25"/>
    <x v="2"/>
    <x v="0"/>
    <x v="3"/>
    <x v="1"/>
  </r>
  <r>
    <s v="ORD100951"/>
    <s v="CUST92199"/>
    <x v="3"/>
    <x v="951"/>
    <d v="2026-05-29T08:01:02"/>
    <n v="14.00000000372529"/>
    <n v="1983.92"/>
    <x v="2"/>
    <x v="2"/>
    <x v="4"/>
    <x v="1"/>
  </r>
  <r>
    <s v="ORD100952"/>
    <s v="CUST21792"/>
    <x v="4"/>
    <x v="952"/>
    <d v="2026-05-13T15:01:49"/>
    <n v="13.999999993247911"/>
    <n v="1395.31"/>
    <x v="1"/>
    <x v="0"/>
    <x v="4"/>
    <x v="1"/>
  </r>
  <r>
    <s v="ORD100953"/>
    <s v="CUST92384"/>
    <x v="3"/>
    <x v="953"/>
    <d v="2026-05-07T16:51:13"/>
    <n v="9.0000000083819032"/>
    <n v="106.94"/>
    <x v="0"/>
    <x v="0"/>
    <x v="0"/>
    <x v="1"/>
  </r>
  <r>
    <s v="ORD100954"/>
    <s v="CUST73476"/>
    <x v="7"/>
    <x v="954"/>
    <d v="2026-05-31T12:54:19"/>
    <n v="10.999999993946403"/>
    <n v="2388.9699999999998"/>
    <x v="2"/>
    <x v="0"/>
    <x v="4"/>
    <x v="1"/>
  </r>
  <r>
    <s v="ORD100955"/>
    <s v="CUST32217"/>
    <x v="7"/>
    <x v="955"/>
    <d v="2026-05-21T05:51:46"/>
    <n v="11.000000004423782"/>
    <n v="2062.14"/>
    <x v="2"/>
    <x v="2"/>
    <x v="4"/>
    <x v="1"/>
  </r>
  <r>
    <s v="ORD100956"/>
    <s v="CUST49451"/>
    <x v="6"/>
    <x v="956"/>
    <d v="2026-05-04T00:08:35"/>
    <n v="8.9999999979045242"/>
    <n v="1255.96"/>
    <x v="1"/>
    <x v="0"/>
    <x v="2"/>
    <x v="1"/>
  </r>
  <r>
    <s v="ORD100957"/>
    <s v="CUST34871"/>
    <x v="1"/>
    <x v="957"/>
    <d v="2026-05-08T08:43:40"/>
    <n v="13.000000000465661"/>
    <n v="1460.39"/>
    <x v="1"/>
    <x v="2"/>
    <x v="0"/>
    <x v="1"/>
  </r>
  <r>
    <s v="ORD100958"/>
    <s v="CUST80482"/>
    <x v="1"/>
    <x v="958"/>
    <m/>
    <s v=" "/>
    <n v="2343.1"/>
    <x v="2"/>
    <x v="0"/>
    <x v="4"/>
    <x v="2"/>
  </r>
  <r>
    <s v="ORD100959"/>
    <s v="CUST35396"/>
    <x v="3"/>
    <x v="959"/>
    <d v="2026-05-04T21:26:07"/>
    <n v="13.000000000465661"/>
    <n v="960.4"/>
    <x v="1"/>
    <x v="0"/>
    <x v="3"/>
    <x v="1"/>
  </r>
  <r>
    <s v="ORD100960"/>
    <s v="CUST40181"/>
    <x v="5"/>
    <x v="960"/>
    <m/>
    <s v=" "/>
    <n v="1735.41"/>
    <x v="2"/>
    <x v="0"/>
    <x v="2"/>
    <x v="2"/>
  </r>
  <r>
    <s v="ORD100961"/>
    <s v="CUST85323"/>
    <x v="7"/>
    <x v="961"/>
    <d v="2026-05-01T06:00:17"/>
    <n v="10.000000001164153"/>
    <n v="1060.48"/>
    <x v="1"/>
    <x v="2"/>
    <x v="1"/>
    <x v="1"/>
  </r>
  <r>
    <s v="ORD100962"/>
    <s v="CUST58254"/>
    <x v="2"/>
    <x v="962"/>
    <d v="2026-05-08T12:58:15"/>
    <n v="7.9999999946448952"/>
    <n v="1616.45"/>
    <x v="2"/>
    <x v="0"/>
    <x v="0"/>
    <x v="1"/>
  </r>
  <r>
    <s v="ORD100963"/>
    <s v="CUST86698"/>
    <x v="7"/>
    <x v="963"/>
    <d v="2026-05-01T01:51:50"/>
    <n v="14.00000000372529"/>
    <n v="2400.1799999999998"/>
    <x v="2"/>
    <x v="1"/>
    <x v="5"/>
    <x v="1"/>
  </r>
  <r>
    <s v="ORD100964"/>
    <s v="CUST55838"/>
    <x v="6"/>
    <x v="964"/>
    <d v="2026-05-31T23:23:09"/>
    <n v="45"/>
    <n v="316.60000000000002"/>
    <x v="0"/>
    <x v="0"/>
    <x v="3"/>
    <x v="0"/>
  </r>
  <r>
    <s v="ORD100965"/>
    <s v="CUST74459"/>
    <x v="3"/>
    <x v="965"/>
    <d v="2026-05-24T02:23:10"/>
    <n v="8.0000000051222742"/>
    <n v="1382.1"/>
    <x v="1"/>
    <x v="1"/>
    <x v="5"/>
    <x v="1"/>
  </r>
  <r>
    <s v="ORD100966"/>
    <s v="CUST83242"/>
    <x v="4"/>
    <x v="966"/>
    <d v="2026-06-01T02:57:39"/>
    <n v="13.999999993247911"/>
    <n v="2405.2199999999998"/>
    <x v="2"/>
    <x v="1"/>
    <x v="1"/>
    <x v="1"/>
  </r>
  <r>
    <s v="ORD100967"/>
    <s v="CUST81894"/>
    <x v="7"/>
    <x v="967"/>
    <d v="2026-05-22T20:14:03"/>
    <n v="10.999999993946403"/>
    <n v="292.10000000000002"/>
    <x v="0"/>
    <x v="0"/>
    <x v="1"/>
    <x v="1"/>
  </r>
  <r>
    <s v="ORD100968"/>
    <s v="CUST51946"/>
    <x v="4"/>
    <x v="968"/>
    <d v="2026-05-23T21:03:44"/>
    <n v="53.999999997904524"/>
    <n v="1202.1300000000001"/>
    <x v="1"/>
    <x v="0"/>
    <x v="4"/>
    <x v="0"/>
  </r>
  <r>
    <s v="ORD100969"/>
    <s v="CUST79871"/>
    <x v="0"/>
    <x v="969"/>
    <d v="2026-05-07T04:42:14"/>
    <n v="11.000000004423782"/>
    <n v="1938.62"/>
    <x v="2"/>
    <x v="1"/>
    <x v="4"/>
    <x v="1"/>
  </r>
  <r>
    <s v="ORD100970"/>
    <s v="CUST92255"/>
    <x v="0"/>
    <x v="970"/>
    <m/>
    <s v=" "/>
    <n v="1653.7"/>
    <x v="2"/>
    <x v="0"/>
    <x v="0"/>
    <x v="2"/>
  </r>
  <r>
    <s v="ORD100971"/>
    <s v="CUST38958"/>
    <x v="7"/>
    <x v="971"/>
    <d v="2026-05-23T14:55:12"/>
    <n v="8.9999999979045242"/>
    <n v="522.88"/>
    <x v="1"/>
    <x v="0"/>
    <x v="1"/>
    <x v="1"/>
  </r>
  <r>
    <s v="ORD100972"/>
    <s v="CUST70277"/>
    <x v="7"/>
    <x v="972"/>
    <m/>
    <s v=" "/>
    <n v="193.39"/>
    <x v="0"/>
    <x v="0"/>
    <x v="2"/>
    <x v="2"/>
  </r>
  <r>
    <s v="ORD100973"/>
    <s v="CUST44983"/>
    <x v="5"/>
    <x v="973"/>
    <d v="2026-05-09T09:15:02"/>
    <n v="18.000000006286427"/>
    <n v="1020.99"/>
    <x v="1"/>
    <x v="2"/>
    <x v="2"/>
    <x v="1"/>
  </r>
  <r>
    <s v="ORD100974"/>
    <s v="CUST98561"/>
    <x v="6"/>
    <x v="974"/>
    <d v="2026-06-01T22:40:35"/>
    <n v="11.999999997206032"/>
    <n v="557.41"/>
    <x v="1"/>
    <x v="0"/>
    <x v="3"/>
    <x v="1"/>
  </r>
  <r>
    <s v="ORD100975"/>
    <s v="CUST86616"/>
    <x v="0"/>
    <x v="975"/>
    <d v="2026-05-19T18:32:31"/>
    <n v="48.000000009778887"/>
    <n v="1769.12"/>
    <x v="2"/>
    <x v="0"/>
    <x v="5"/>
    <x v="0"/>
  </r>
  <r>
    <s v="ORD100976"/>
    <s v="CUST37892"/>
    <x v="0"/>
    <x v="976"/>
    <d v="2026-05-13T18:19:34"/>
    <n v="7.9999999946448952"/>
    <n v="2250.5100000000002"/>
    <x v="2"/>
    <x v="0"/>
    <x v="0"/>
    <x v="1"/>
  </r>
  <r>
    <s v="ORD100977"/>
    <s v="CUST29150"/>
    <x v="2"/>
    <x v="977"/>
    <d v="2026-05-23T10:55:29"/>
    <n v="8.9999999979045242"/>
    <n v="1612.48"/>
    <x v="2"/>
    <x v="2"/>
    <x v="2"/>
    <x v="1"/>
  </r>
  <r>
    <s v="ORD100978"/>
    <s v="CUST56208"/>
    <x v="0"/>
    <x v="978"/>
    <d v="2026-05-18T20:09:55"/>
    <n v="10.999999993946403"/>
    <n v="961.23"/>
    <x v="1"/>
    <x v="0"/>
    <x v="2"/>
    <x v="1"/>
  </r>
  <r>
    <s v="ORD100979"/>
    <s v="CUST74387"/>
    <x v="0"/>
    <x v="979"/>
    <d v="2026-05-11T02:47:09"/>
    <n v="14.00000000372529"/>
    <n v="302.67"/>
    <x v="0"/>
    <x v="1"/>
    <x v="1"/>
    <x v="1"/>
  </r>
  <r>
    <s v="ORD100980"/>
    <s v="CUST64548"/>
    <x v="2"/>
    <x v="980"/>
    <d v="2026-05-29T10:04:16"/>
    <n v="11.999999997206032"/>
    <n v="1617.7"/>
    <x v="2"/>
    <x v="2"/>
    <x v="5"/>
    <x v="1"/>
  </r>
  <r>
    <s v="ORD100981"/>
    <s v="CUST86550"/>
    <x v="6"/>
    <x v="981"/>
    <d v="2026-05-24T14:20:49"/>
    <n v="20.000000002328306"/>
    <n v="1863.78"/>
    <x v="2"/>
    <x v="0"/>
    <x v="1"/>
    <x v="1"/>
  </r>
  <r>
    <s v="ORD100982"/>
    <s v="CUST55018"/>
    <x v="1"/>
    <x v="982"/>
    <d v="2026-05-25T23:28:56"/>
    <n v="17.000000003026798"/>
    <n v="434.86"/>
    <x v="0"/>
    <x v="0"/>
    <x v="5"/>
    <x v="1"/>
  </r>
  <r>
    <s v="ORD100983"/>
    <s v="CUST20336"/>
    <x v="3"/>
    <x v="983"/>
    <d v="2026-05-02T20:09:23"/>
    <n v="14.99999999650754"/>
    <n v="562.41999999999996"/>
    <x v="1"/>
    <x v="0"/>
    <x v="1"/>
    <x v="1"/>
  </r>
  <r>
    <s v="ORD100984"/>
    <s v="CUST57072"/>
    <x v="4"/>
    <x v="984"/>
    <d v="2026-05-16T10:55:04"/>
    <n v="8.9999999979045242"/>
    <n v="1826.37"/>
    <x v="2"/>
    <x v="2"/>
    <x v="1"/>
    <x v="1"/>
  </r>
  <r>
    <s v="ORD100985"/>
    <s v="CUST59132"/>
    <x v="6"/>
    <x v="985"/>
    <d v="2026-05-25T06:52:43"/>
    <n v="18.999999999068677"/>
    <n v="1522.07"/>
    <x v="2"/>
    <x v="2"/>
    <x v="4"/>
    <x v="1"/>
  </r>
  <r>
    <s v="ORD100986"/>
    <s v="CUST96931"/>
    <x v="5"/>
    <x v="986"/>
    <d v="2026-06-01T17:25:39"/>
    <n v="15.999999999767169"/>
    <n v="1273.1600000000001"/>
    <x v="1"/>
    <x v="0"/>
    <x v="4"/>
    <x v="1"/>
  </r>
  <r>
    <s v="ORD100987"/>
    <s v="CUST96011"/>
    <x v="2"/>
    <x v="987"/>
    <d v="2026-05-19T10:46:41"/>
    <n v="20.000000002328306"/>
    <n v="250.18"/>
    <x v="0"/>
    <x v="2"/>
    <x v="2"/>
    <x v="1"/>
  </r>
  <r>
    <s v="ORD100988"/>
    <s v="CUST84178"/>
    <x v="5"/>
    <x v="988"/>
    <d v="2026-05-21T03:23:33"/>
    <n v="17.000000003026798"/>
    <n v="1396.32"/>
    <x v="1"/>
    <x v="1"/>
    <x v="4"/>
    <x v="1"/>
  </r>
  <r>
    <s v="ORD100989"/>
    <s v="CUST39476"/>
    <x v="1"/>
    <x v="989"/>
    <d v="2026-05-05T02:03:08"/>
    <n v="10.000000001164153"/>
    <n v="837.55"/>
    <x v="1"/>
    <x v="1"/>
    <x v="2"/>
    <x v="1"/>
  </r>
  <r>
    <s v="ORD100990"/>
    <s v="CUST78529"/>
    <x v="4"/>
    <x v="990"/>
    <d v="2026-05-12T01:24:06"/>
    <n v="12.000000007683411"/>
    <n v="1380.46"/>
    <x v="1"/>
    <x v="1"/>
    <x v="2"/>
    <x v="1"/>
  </r>
  <r>
    <s v="ORD100991"/>
    <s v="CUST90592"/>
    <x v="4"/>
    <x v="991"/>
    <d v="2026-06-01T06:15:02"/>
    <n v="9.0000000083819032"/>
    <n v="2101.1999999999998"/>
    <x v="2"/>
    <x v="2"/>
    <x v="5"/>
    <x v="1"/>
  </r>
  <r>
    <s v="ORD100992"/>
    <s v="CUST83483"/>
    <x v="0"/>
    <x v="992"/>
    <m/>
    <s v=" "/>
    <n v="1177.3399999999999"/>
    <x v="1"/>
    <x v="0"/>
    <x v="2"/>
    <x v="2"/>
  </r>
  <r>
    <s v="ORD100993"/>
    <s v="CUST65236"/>
    <x v="7"/>
    <x v="993"/>
    <d v="2026-05-17T01:40:14"/>
    <n v="17.000000003026798"/>
    <n v="2489"/>
    <x v="2"/>
    <x v="1"/>
    <x v="2"/>
    <x v="1"/>
  </r>
  <r>
    <s v="ORD100994"/>
    <s v="CUST63573"/>
    <x v="3"/>
    <x v="994"/>
    <d v="2026-05-05T01:12:58"/>
    <n v="13.000000000465661"/>
    <n v="187.9"/>
    <x v="0"/>
    <x v="1"/>
    <x v="2"/>
    <x v="1"/>
  </r>
  <r>
    <s v="ORD100995"/>
    <s v="CUST92340"/>
    <x v="7"/>
    <x v="995"/>
    <d v="2026-05-14T20:49:59"/>
    <n v="17.999999995809048"/>
    <n v="233.53"/>
    <x v="0"/>
    <x v="0"/>
    <x v="4"/>
    <x v="1"/>
  </r>
  <r>
    <s v="ORD100996"/>
    <s v="CUST91228"/>
    <x v="2"/>
    <x v="996"/>
    <d v="2026-05-06T15:10:40"/>
    <n v="18.999999999068677"/>
    <n v="1989.67"/>
    <x v="2"/>
    <x v="0"/>
    <x v="4"/>
    <x v="1"/>
  </r>
  <r>
    <s v="ORD100997"/>
    <s v="CUST69441"/>
    <x v="6"/>
    <x v="997"/>
    <d v="2026-05-04T11:49:47"/>
    <n v="14.00000000372529"/>
    <n v="201.75"/>
    <x v="0"/>
    <x v="2"/>
    <x v="3"/>
    <x v="1"/>
  </r>
  <r>
    <s v="ORD100998"/>
    <s v="CUST79682"/>
    <x v="0"/>
    <x v="998"/>
    <d v="2026-05-27T12:08:45"/>
    <n v="18.000000006286427"/>
    <n v="382.65"/>
    <x v="0"/>
    <x v="0"/>
    <x v="1"/>
    <x v="1"/>
  </r>
  <r>
    <s v="ORD100999"/>
    <s v="CUST62176"/>
    <x v="2"/>
    <x v="999"/>
    <d v="2026-05-04T19:37:33"/>
    <n v="20.000000002328306"/>
    <n v="2036.05"/>
    <x v="2"/>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D5092-EB50-8241-9002-0714B1C6B1A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20" firstHeaderRow="1" firstDataRow="1" firstDataCol="1"/>
  <pivotFields count="13">
    <pivotField showAll="0"/>
    <pivotField showAll="0"/>
    <pivotField axis="axisRow" dataField="1" showAll="0">
      <items count="10">
        <item x="4"/>
        <item x="5"/>
        <item x="3"/>
        <item x="6"/>
        <item x="0"/>
        <item m="1" x="8"/>
        <item x="1"/>
        <item x="2"/>
        <item x="7"/>
        <item t="default"/>
      </items>
    </pivotField>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showAll="0"/>
    <pivotField showAll="0"/>
    <pivotField showAll="0"/>
    <pivotField showAll="0">
      <items count="7">
        <item x="1"/>
        <item x="3"/>
        <item x="5"/>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6"/>
    </i>
    <i>
      <x v="7"/>
    </i>
    <i>
      <x v="8"/>
    </i>
    <i t="grand">
      <x/>
    </i>
  </rowItems>
  <colItems count="1">
    <i/>
  </colItems>
  <dataFields count="1">
    <dataField name="Count of city"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21553F-42C0-BD44-B3EF-3B268936FD6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39" firstHeaderRow="1" firstDataRow="1" firstDataCol="1"/>
  <pivotFields count="13">
    <pivotField showAll="0"/>
    <pivotField showAll="0"/>
    <pivotField showAll="0">
      <items count="10">
        <item x="4"/>
        <item x="5"/>
        <item x="3"/>
        <item x="6"/>
        <item x="0"/>
        <item m="1" x="8"/>
        <item x="1"/>
        <item x="2"/>
        <item x="7"/>
        <item t="default"/>
      </items>
    </pivotField>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showAll="0"/>
    <pivotField showAll="0"/>
    <pivotField showAll="0"/>
    <pivotField axis="axisRow" dataField="1" showAll="0">
      <items count="7">
        <item x="1"/>
        <item x="3"/>
        <item x="5"/>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Count of payment_mode"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19DF13-B6B9-9D45-B6A5-D3D98A67869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E75" firstHeaderRow="1" firstDataRow="2" firstDataCol="1"/>
  <pivotFields count="13">
    <pivotField showAll="0"/>
    <pivotField showAll="0"/>
    <pivotField showAll="0"/>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showAll="0"/>
    <pivotField axis="axisCol" showAll="0">
      <items count="4">
        <item x="2"/>
        <item x="0"/>
        <item x="1"/>
        <item t="default"/>
      </items>
    </pivotField>
    <pivotField axis="axisRow" dataField="1" showAll="0">
      <items count="4">
        <item x="2"/>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Fields count="1">
    <field x="7"/>
  </colFields>
  <colItems count="4">
    <i>
      <x/>
    </i>
    <i>
      <x v="1"/>
    </i>
    <i>
      <x v="2"/>
    </i>
    <i t="grand">
      <x/>
    </i>
  </colItems>
  <dataFields count="1">
    <dataField name="Count of Duration" fld="8" subtotal="count" baseField="0" baseItem="0"/>
  </dataFields>
  <chartFormats count="3">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A2408-825F-B046-8C36-8E5FD8202F4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showAll="0"/>
    <pivotField showAll="0"/>
    <pivotField showAll="0">
      <items count="10">
        <item x="4"/>
        <item x="5"/>
        <item x="3"/>
        <item x="6"/>
        <item x="0"/>
        <item m="1" x="8"/>
        <item x="1"/>
        <item x="2"/>
        <item x="7"/>
        <item t="default"/>
      </items>
    </pivotField>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showAll="0"/>
    <pivotField showAll="0"/>
    <pivotField showAll="0"/>
    <pivotField showAll="0">
      <items count="7">
        <item x="1"/>
        <item x="3"/>
        <item x="5"/>
        <item x="2"/>
        <item x="4"/>
        <item x="0"/>
        <item t="default"/>
      </items>
    </pivotField>
    <pivotField axis="axisRow" dataField="1"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Count of order_status" fld="10" subtotal="count" baseField="0" baseItem="0"/>
  </dataField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0" count="1" selected="0">
            <x v="0"/>
          </reference>
        </references>
      </pivotArea>
    </chartFormat>
    <chartFormat chart="8" format="7">
      <pivotArea type="data" outline="0" fieldPosition="0">
        <references count="2">
          <reference field="4294967294" count="1" selected="0">
            <x v="0"/>
          </reference>
          <reference field="10" count="1" selected="0">
            <x v="1"/>
          </reference>
        </references>
      </pivotArea>
    </chartFormat>
    <chartFormat chart="8"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2FD8C-49EF-D744-A613-EE6D385C10F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A65" firstHeaderRow="1" firstDataRow="1" firstDataCol="0"/>
  <pivotFields count="13">
    <pivotField showAll="0"/>
    <pivotField showAll="0"/>
    <pivotField showAll="0">
      <items count="10">
        <item x="4"/>
        <item x="5"/>
        <item x="3"/>
        <item x="6"/>
        <item x="0"/>
        <item m="1" x="8"/>
        <item x="1"/>
        <item x="2"/>
        <item x="7"/>
        <item t="default"/>
      </items>
    </pivotField>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dataField="1" showAll="0"/>
    <pivotField showAll="0"/>
    <pivotField showAll="0"/>
    <pivotField showAll="0"/>
    <pivotField showAll="0">
      <items count="7">
        <item x="1"/>
        <item x="3"/>
        <item x="5"/>
        <item x="2"/>
        <item x="4"/>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delivery_minutes"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0F459E-A945-C442-8B15-8849D8F8A2A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8:B52" firstHeaderRow="1" firstDataRow="1" firstDataCol="1"/>
  <pivotFields count="13">
    <pivotField showAll="0"/>
    <pivotField showAll="0"/>
    <pivotField showAll="0">
      <items count="10">
        <item x="4"/>
        <item x="5"/>
        <item x="3"/>
        <item x="6"/>
        <item x="0"/>
        <item m="1" x="8"/>
        <item x="1"/>
        <item x="2"/>
        <item x="7"/>
        <item t="default"/>
      </items>
    </pivotField>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showAll="0"/>
    <pivotField showAll="0"/>
    <pivotField axis="axisRow" dataField="1" showAll="0">
      <items count="4">
        <item x="2"/>
        <item x="0"/>
        <item x="1"/>
        <item t="default"/>
      </items>
    </pivotField>
    <pivotField showAll="0">
      <items count="7">
        <item x="1"/>
        <item x="3"/>
        <item x="5"/>
        <item x="2"/>
        <item x="4"/>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Count of Duration" fld="8" subtotal="count" baseField="0" baseItem="0"/>
  </dataFields>
  <chartFormats count="8">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8" count="1" selected="0">
            <x v="0"/>
          </reference>
        </references>
      </pivotArea>
    </chartFormat>
    <chartFormat chart="14" format="7">
      <pivotArea type="data" outline="0" fieldPosition="0">
        <references count="2">
          <reference field="4294967294" count="1" selected="0">
            <x v="0"/>
          </reference>
          <reference field="8" count="1" selected="0">
            <x v="1"/>
          </reference>
        </references>
      </pivotArea>
    </chartFormat>
    <chartFormat chart="14"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54AAFE-76C7-664D-A3A4-727165621AE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5" firstHeaderRow="1" firstDataRow="1" firstDataCol="1"/>
  <pivotFields count="13">
    <pivotField showAll="0"/>
    <pivotField showAll="0"/>
    <pivotField showAll="0">
      <items count="10">
        <item x="4"/>
        <item x="5"/>
        <item x="3"/>
        <item x="6"/>
        <item x="0"/>
        <item m="1" x="8"/>
        <item x="1"/>
        <item x="2"/>
        <item x="7"/>
        <item t="default"/>
      </items>
    </pivotField>
    <pivotField axis="axisRow"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dataField="1" showAll="0"/>
    <pivotField showAll="0"/>
    <pivotField showAll="0"/>
    <pivotField showAll="0">
      <items count="7">
        <item x="1"/>
        <item x="3"/>
        <item x="5"/>
        <item x="2"/>
        <item x="4"/>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3"/>
  </rowFields>
  <rowItems count="3">
    <i>
      <x v="5"/>
    </i>
    <i>
      <x v="6"/>
    </i>
    <i t="grand">
      <x/>
    </i>
  </rowItems>
  <colItems count="1">
    <i/>
  </colItems>
  <dataFields count="1">
    <dataField name="Sum of order_val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F4EDB3-8D3E-9B4C-86C0-2B06820D434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9" firstHeaderRow="1" firstDataRow="1" firstDataCol="1"/>
  <pivotFields count="13">
    <pivotField showAll="0"/>
    <pivotField showAll="0"/>
    <pivotField showAll="0">
      <items count="10">
        <item x="4"/>
        <item x="5"/>
        <item x="3"/>
        <item x="6"/>
        <item x="0"/>
        <item m="1" x="8"/>
        <item x="1"/>
        <item x="2"/>
        <item x="7"/>
        <item t="default"/>
      </items>
    </pivotField>
    <pivotField numFmtId="22" showAll="0">
      <items count="1001">
        <item x="49"/>
        <item x="107"/>
        <item x="423"/>
        <item x="963"/>
        <item x="320"/>
        <item x="819"/>
        <item x="688"/>
        <item x="830"/>
        <item x="961"/>
        <item x="103"/>
        <item x="826"/>
        <item x="321"/>
        <item x="941"/>
        <item x="505"/>
        <item x="18"/>
        <item x="568"/>
        <item x="338"/>
        <item x="734"/>
        <item x="677"/>
        <item x="158"/>
        <item x="804"/>
        <item x="440"/>
        <item x="101"/>
        <item x="542"/>
        <item x="942"/>
        <item x="768"/>
        <item x="927"/>
        <item x="106"/>
        <item x="803"/>
        <item x="698"/>
        <item x="709"/>
        <item x="579"/>
        <item x="868"/>
        <item x="751"/>
        <item x="795"/>
        <item x="118"/>
        <item x="414"/>
        <item x="466"/>
        <item x="848"/>
        <item x="604"/>
        <item x="924"/>
        <item x="251"/>
        <item x="39"/>
        <item x="833"/>
        <item x="914"/>
        <item x="564"/>
        <item x="618"/>
        <item x="903"/>
        <item x="489"/>
        <item x="776"/>
        <item x="55"/>
        <item x="223"/>
        <item x="388"/>
        <item x="387"/>
        <item x="313"/>
        <item x="478"/>
        <item x="38"/>
        <item x="374"/>
        <item x="383"/>
        <item x="844"/>
        <item x="715"/>
        <item x="744"/>
        <item x="296"/>
        <item x="983"/>
        <item x="503"/>
        <item x="972"/>
        <item x="396"/>
        <item x="168"/>
        <item x="781"/>
        <item x="78"/>
        <item x="116"/>
        <item x="259"/>
        <item x="473"/>
        <item x="415"/>
        <item x="124"/>
        <item x="358"/>
        <item x="121"/>
        <item x="448"/>
        <item x="428"/>
        <item x="945"/>
        <item x="829"/>
        <item x="661"/>
        <item x="328"/>
        <item x="561"/>
        <item x="859"/>
        <item x="457"/>
        <item x="547"/>
        <item x="746"/>
        <item x="792"/>
        <item x="619"/>
        <item x="778"/>
        <item x="179"/>
        <item x="521"/>
        <item x="192"/>
        <item x="229"/>
        <item x="956"/>
        <item x="609"/>
        <item x="450"/>
        <item x="597"/>
        <item x="327"/>
        <item x="818"/>
        <item x="704"/>
        <item x="500"/>
        <item x="372"/>
        <item x="290"/>
        <item x="392"/>
        <item x="57"/>
        <item x="623"/>
        <item x="307"/>
        <item x="997"/>
        <item x="883"/>
        <item x="298"/>
        <item x="453"/>
        <item x="347"/>
        <item x="99"/>
        <item x="725"/>
        <item x="638"/>
        <item x="999"/>
        <item x="657"/>
        <item x="563"/>
        <item x="959"/>
        <item x="361"/>
        <item x="369"/>
        <item x="994"/>
        <item x="40"/>
        <item x="989"/>
        <item x="463"/>
        <item x="270"/>
        <item x="934"/>
        <item x="153"/>
        <item x="730"/>
        <item x="418"/>
        <item x="788"/>
        <item x="821"/>
        <item x="603"/>
        <item x="127"/>
        <item x="726"/>
        <item x="304"/>
        <item x="155"/>
        <item x="711"/>
        <item x="845"/>
        <item x="170"/>
        <item x="42"/>
        <item x="315"/>
        <item x="534"/>
        <item x="683"/>
        <item x="765"/>
        <item x="839"/>
        <item x="278"/>
        <item x="292"/>
        <item x="41"/>
        <item x="431"/>
        <item x="202"/>
        <item x="326"/>
        <item x="705"/>
        <item x="100"/>
        <item x="123"/>
        <item x="743"/>
        <item x="710"/>
        <item x="582"/>
        <item x="177"/>
        <item x="187"/>
        <item x="905"/>
        <item x="529"/>
        <item x="286"/>
        <item x="140"/>
        <item x="380"/>
        <item x="499"/>
        <item x="801"/>
        <item x="113"/>
        <item x="750"/>
        <item x="248"/>
        <item x="893"/>
        <item x="13"/>
        <item x="931"/>
        <item x="615"/>
        <item x="996"/>
        <item x="233"/>
        <item x="443"/>
        <item x="28"/>
        <item x="302"/>
        <item x="834"/>
        <item x="368"/>
        <item x="822"/>
        <item x="620"/>
        <item x="300"/>
        <item x="115"/>
        <item x="910"/>
        <item x="461"/>
        <item x="181"/>
        <item x="269"/>
        <item x="656"/>
        <item x="588"/>
        <item x="629"/>
        <item x="451"/>
        <item x="906"/>
        <item x="275"/>
        <item x="469"/>
        <item x="857"/>
        <item x="352"/>
        <item x="969"/>
        <item x="241"/>
        <item x="697"/>
        <item x="585"/>
        <item x="340"/>
        <item x="700"/>
        <item x="909"/>
        <item x="186"/>
        <item x="712"/>
        <item x="470"/>
        <item x="4"/>
        <item x="869"/>
        <item x="799"/>
        <item x="606"/>
        <item x="886"/>
        <item x="573"/>
        <item x="345"/>
        <item x="110"/>
        <item x="953"/>
        <item x="571"/>
        <item x="318"/>
        <item x="56"/>
        <item x="662"/>
        <item x="569"/>
        <item x="877"/>
        <item x="53"/>
        <item x="30"/>
        <item x="793"/>
        <item x="47"/>
        <item x="291"/>
        <item x="319"/>
        <item x="957"/>
        <item x="227"/>
        <item x="572"/>
        <item x="7"/>
        <item x="207"/>
        <item x="889"/>
        <item x="674"/>
        <item x="692"/>
        <item x="962"/>
        <item x="602"/>
        <item x="636"/>
        <item x="840"/>
        <item x="354"/>
        <item x="580"/>
        <item x="935"/>
        <item x="494"/>
        <item x="772"/>
        <item x="535"/>
        <item x="950"/>
        <item x="863"/>
        <item x="365"/>
        <item x="789"/>
        <item x="641"/>
        <item x="283"/>
        <item x="559"/>
        <item x="285"/>
        <item x="973"/>
        <item x="210"/>
        <item x="556"/>
        <item x="923"/>
        <item x="646"/>
        <item x="570"/>
        <item x="637"/>
        <item x="273"/>
        <item x="601"/>
        <item x="913"/>
        <item x="213"/>
        <item x="876"/>
        <item x="257"/>
        <item x="794"/>
        <item x="504"/>
        <item x="263"/>
        <item x="171"/>
        <item x="277"/>
        <item x="46"/>
        <item x="814"/>
        <item x="589"/>
        <item x="737"/>
        <item x="309"/>
        <item x="940"/>
        <item x="651"/>
        <item x="131"/>
        <item x="243"/>
        <item x="518"/>
        <item x="48"/>
        <item x="527"/>
        <item x="702"/>
        <item x="678"/>
        <item x="946"/>
        <item x="938"/>
        <item x="377"/>
        <item x="581"/>
        <item x="719"/>
        <item x="458"/>
        <item x="405"/>
        <item x="537"/>
        <item x="723"/>
        <item x="301"/>
        <item x="52"/>
        <item x="185"/>
        <item x="188"/>
        <item x="806"/>
        <item x="880"/>
        <item x="212"/>
        <item x="303"/>
        <item x="397"/>
        <item x="468"/>
        <item x="246"/>
        <item x="404"/>
        <item x="462"/>
        <item x="474"/>
        <item x="63"/>
        <item x="126"/>
        <item x="141"/>
        <item x="754"/>
        <item x="435"/>
        <item x="884"/>
        <item x="266"/>
        <item x="487"/>
        <item x="979"/>
        <item x="553"/>
        <item x="596"/>
        <item x="816"/>
        <item x="560"/>
        <item x="777"/>
        <item x="753"/>
        <item x="779"/>
        <item x="239"/>
        <item x="32"/>
        <item x="317"/>
        <item x="771"/>
        <item x="430"/>
        <item x="279"/>
        <item x="261"/>
        <item x="225"/>
        <item x="752"/>
        <item x="610"/>
        <item x="543"/>
        <item x="676"/>
        <item x="434"/>
        <item x="895"/>
        <item x="775"/>
        <item x="419"/>
        <item x="194"/>
        <item x="362"/>
        <item x="9"/>
        <item x="990"/>
        <item x="323"/>
        <item x="1"/>
        <item x="540"/>
        <item x="308"/>
        <item x="939"/>
        <item x="14"/>
        <item x="459"/>
        <item x="394"/>
        <item x="673"/>
        <item x="948"/>
        <item x="376"/>
        <item x="526"/>
        <item x="891"/>
        <item x="403"/>
        <item x="541"/>
        <item x="375"/>
        <item x="203"/>
        <item x="412"/>
        <item x="763"/>
        <item x="145"/>
        <item x="881"/>
        <item x="838"/>
        <item x="0"/>
        <item x="866"/>
        <item x="851"/>
        <item x="496"/>
        <item x="214"/>
        <item x="295"/>
        <item x="791"/>
        <item x="195"/>
        <item x="215"/>
        <item x="917"/>
        <item x="599"/>
        <item x="785"/>
        <item x="825"/>
        <item x="740"/>
        <item x="65"/>
        <item x="137"/>
        <item x="528"/>
        <item x="640"/>
        <item x="549"/>
        <item x="490"/>
        <item x="77"/>
        <item x="460"/>
        <item x="402"/>
        <item x="11"/>
        <item x="632"/>
        <item x="492"/>
        <item x="742"/>
        <item x="574"/>
        <item x="696"/>
        <item x="522"/>
        <item x="575"/>
        <item x="219"/>
        <item x="484"/>
        <item x="199"/>
        <item x="952"/>
        <item x="162"/>
        <item x="853"/>
        <item x="976"/>
        <item x="31"/>
        <item x="167"/>
        <item x="890"/>
        <item x="111"/>
        <item x="634"/>
        <item x="671"/>
        <item x="289"/>
        <item x="59"/>
        <item x="282"/>
        <item x="442"/>
        <item x="649"/>
        <item x="436"/>
        <item x="81"/>
        <item x="237"/>
        <item x="501"/>
        <item x="27"/>
        <item x="421"/>
        <item x="502"/>
        <item x="201"/>
        <item x="83"/>
        <item x="230"/>
        <item x="810"/>
        <item x="355"/>
        <item x="169"/>
        <item x="79"/>
        <item x="255"/>
        <item x="758"/>
        <item x="852"/>
        <item x="995"/>
        <item x="280"/>
        <item x="685"/>
        <item x="699"/>
        <item x="567"/>
        <item x="627"/>
        <item x="351"/>
        <item x="133"/>
        <item x="920"/>
        <item x="102"/>
        <item x="366"/>
        <item x="481"/>
        <item x="23"/>
        <item x="716"/>
        <item x="390"/>
        <item x="427"/>
        <item x="51"/>
        <item x="268"/>
        <item x="183"/>
        <item x="815"/>
        <item x="766"/>
        <item x="343"/>
        <item x="182"/>
        <item x="828"/>
        <item x="836"/>
        <item x="400"/>
        <item x="416"/>
        <item x="523"/>
        <item x="846"/>
        <item x="605"/>
        <item x="735"/>
        <item x="89"/>
        <item x="663"/>
        <item x="15"/>
        <item x="305"/>
        <item x="19"/>
        <item x="690"/>
        <item x="516"/>
        <item x="438"/>
        <item x="729"/>
        <item x="364"/>
        <item x="335"/>
        <item x="244"/>
        <item x="929"/>
        <item x="234"/>
        <item x="550"/>
        <item x="644"/>
        <item x="871"/>
        <item x="391"/>
        <item x="849"/>
        <item x="348"/>
        <item x="231"/>
        <item x="984"/>
        <item x="360"/>
        <item x="333"/>
        <item x="16"/>
        <item x="607"/>
        <item x="93"/>
        <item x="878"/>
        <item x="150"/>
        <item x="128"/>
        <item x="856"/>
        <item x="378"/>
        <item x="960"/>
        <item x="382"/>
        <item x="245"/>
        <item x="114"/>
        <item x="854"/>
        <item x="993"/>
        <item x="265"/>
        <item x="445"/>
        <item x="429"/>
        <item x="356"/>
        <item x="727"/>
        <item x="659"/>
        <item x="311"/>
        <item x="870"/>
        <item x="786"/>
        <item x="297"/>
        <item x="724"/>
        <item x="855"/>
        <item x="668"/>
        <item x="449"/>
        <item x="807"/>
        <item x="888"/>
        <item x="887"/>
        <item x="949"/>
        <item x="706"/>
        <item x="566"/>
        <item x="885"/>
        <item x="562"/>
        <item x="90"/>
        <item x="583"/>
        <item x="172"/>
        <item x="437"/>
        <item x="841"/>
        <item x="904"/>
        <item x="498"/>
        <item x="613"/>
        <item x="342"/>
        <item x="264"/>
        <item x="144"/>
        <item x="741"/>
        <item x="658"/>
        <item x="770"/>
        <item x="224"/>
        <item x="932"/>
        <item x="862"/>
        <item x="933"/>
        <item x="507"/>
        <item x="875"/>
        <item x="135"/>
        <item x="861"/>
        <item x="314"/>
        <item x="465"/>
        <item x="675"/>
        <item x="108"/>
        <item x="916"/>
        <item x="978"/>
        <item x="809"/>
        <item x="249"/>
        <item x="591"/>
        <item x="762"/>
        <item x="312"/>
        <item x="693"/>
        <item x="3"/>
        <item x="782"/>
        <item x="216"/>
        <item x="413"/>
        <item x="749"/>
        <item x="576"/>
        <item x="827"/>
        <item x="660"/>
        <item x="139"/>
        <item x="60"/>
        <item x="584"/>
        <item x="512"/>
        <item x="987"/>
        <item x="256"/>
        <item x="22"/>
        <item x="586"/>
        <item x="655"/>
        <item x="912"/>
        <item x="645"/>
        <item x="532"/>
        <item x="628"/>
        <item x="975"/>
        <item x="240"/>
        <item x="10"/>
        <item x="332"/>
        <item x="717"/>
        <item x="650"/>
        <item x="287"/>
        <item x="899"/>
        <item x="824"/>
        <item x="665"/>
        <item x="922"/>
        <item x="211"/>
        <item x="276"/>
        <item x="525"/>
        <item x="515"/>
        <item x="958"/>
        <item x="288"/>
        <item x="721"/>
        <item x="152"/>
        <item x="479"/>
        <item x="554"/>
        <item x="330"/>
        <item x="408"/>
        <item x="161"/>
        <item x="919"/>
        <item x="444"/>
        <item x="536"/>
        <item x="530"/>
        <item x="143"/>
        <item x="739"/>
        <item x="680"/>
        <item x="621"/>
        <item x="713"/>
        <item x="209"/>
        <item x="21"/>
        <item x="71"/>
        <item x="647"/>
        <item x="732"/>
        <item x="357"/>
        <item x="506"/>
        <item x="267"/>
        <item x="125"/>
        <item x="988"/>
        <item x="761"/>
        <item x="359"/>
        <item x="955"/>
        <item x="410"/>
        <item x="62"/>
        <item x="514"/>
        <item x="84"/>
        <item x="350"/>
        <item x="148"/>
        <item x="386"/>
        <item x="165"/>
        <item x="349"/>
        <item x="691"/>
        <item x="847"/>
        <item x="805"/>
        <item x="587"/>
        <item x="882"/>
        <item x="915"/>
        <item x="860"/>
        <item x="682"/>
        <item x="642"/>
        <item x="667"/>
        <item x="970"/>
        <item x="61"/>
        <item x="679"/>
        <item x="652"/>
        <item x="648"/>
        <item x="395"/>
        <item x="703"/>
        <item x="850"/>
        <item x="371"/>
        <item x="272"/>
        <item x="592"/>
        <item x="898"/>
        <item x="92"/>
        <item x="94"/>
        <item x="17"/>
        <item x="80"/>
        <item x="872"/>
        <item x="531"/>
        <item x="590"/>
        <item x="130"/>
        <item x="896"/>
        <item x="555"/>
        <item x="420"/>
        <item x="787"/>
        <item x="624"/>
        <item x="120"/>
        <item x="432"/>
        <item x="967"/>
        <item x="75"/>
        <item x="193"/>
        <item x="258"/>
        <item x="476"/>
        <item x="773"/>
        <item x="218"/>
        <item x="132"/>
        <item x="755"/>
        <item x="253"/>
        <item x="681"/>
        <item x="97"/>
        <item x="178"/>
        <item x="557"/>
        <item x="722"/>
        <item x="411"/>
        <item x="422"/>
        <item x="112"/>
        <item x="551"/>
        <item x="85"/>
        <item x="977"/>
        <item x="497"/>
        <item x="835"/>
        <item x="865"/>
        <item x="471"/>
        <item x="508"/>
        <item x="971"/>
        <item x="190"/>
        <item x="384"/>
        <item x="767"/>
        <item x="147"/>
        <item x="238"/>
        <item x="136"/>
        <item x="653"/>
        <item x="600"/>
        <item x="968"/>
        <item x="337"/>
        <item x="813"/>
        <item x="235"/>
        <item x="718"/>
        <item x="548"/>
        <item x="316"/>
        <item x="486"/>
        <item x="104"/>
        <item x="965"/>
        <item x="406"/>
        <item x="29"/>
        <item x="142"/>
        <item x="757"/>
        <item x="686"/>
        <item x="293"/>
        <item x="88"/>
        <item x="733"/>
        <item x="874"/>
        <item x="748"/>
        <item x="759"/>
        <item x="322"/>
        <item x="921"/>
        <item x="981"/>
        <item x="250"/>
        <item x="344"/>
        <item x="495"/>
        <item x="694"/>
        <item x="511"/>
        <item x="228"/>
        <item x="670"/>
        <item x="764"/>
        <item x="176"/>
        <item x="901"/>
        <item x="200"/>
        <item x="274"/>
        <item x="138"/>
        <item x="426"/>
        <item x="608"/>
        <item x="151"/>
        <item x="446"/>
        <item x="69"/>
        <item x="879"/>
        <item x="985"/>
        <item x="74"/>
        <item x="664"/>
        <item x="911"/>
        <item x="159"/>
        <item x="447"/>
        <item x="284"/>
        <item x="798"/>
        <item x="393"/>
        <item x="930"/>
        <item x="666"/>
        <item x="823"/>
        <item x="614"/>
        <item x="67"/>
        <item x="552"/>
        <item x="117"/>
        <item x="206"/>
        <item x="708"/>
        <item x="992"/>
        <item x="129"/>
        <item x="594"/>
        <item x="982"/>
        <item x="339"/>
        <item x="558"/>
        <item x="475"/>
        <item x="897"/>
        <item x="684"/>
        <item x="947"/>
        <item x="346"/>
        <item x="488"/>
        <item x="254"/>
        <item x="633"/>
        <item x="900"/>
        <item x="134"/>
        <item x="163"/>
        <item x="180"/>
        <item x="817"/>
        <item x="166"/>
        <item x="831"/>
        <item x="367"/>
        <item x="707"/>
        <item x="12"/>
        <item x="58"/>
        <item x="593"/>
        <item x="908"/>
        <item x="464"/>
        <item x="720"/>
        <item x="837"/>
        <item x="510"/>
        <item x="407"/>
        <item x="832"/>
        <item x="745"/>
        <item x="780"/>
        <item x="197"/>
        <item x="517"/>
        <item x="336"/>
        <item x="242"/>
        <item x="635"/>
        <item x="146"/>
        <item x="631"/>
        <item x="467"/>
        <item x="790"/>
        <item x="43"/>
        <item x="424"/>
        <item x="381"/>
        <item x="324"/>
        <item x="802"/>
        <item x="91"/>
        <item x="64"/>
        <item x="154"/>
        <item x="943"/>
        <item x="294"/>
        <item x="998"/>
        <item x="796"/>
        <item x="44"/>
        <item x="520"/>
        <item x="247"/>
        <item x="149"/>
        <item x="68"/>
        <item x="299"/>
        <item x="565"/>
        <item x="36"/>
        <item x="341"/>
        <item x="175"/>
        <item x="928"/>
        <item x="379"/>
        <item x="73"/>
        <item x="454"/>
        <item x="452"/>
        <item x="538"/>
        <item x="784"/>
        <item x="483"/>
        <item x="281"/>
        <item x="54"/>
        <item x="643"/>
        <item x="595"/>
        <item x="654"/>
        <item x="25"/>
        <item x="221"/>
        <item x="325"/>
        <item x="485"/>
        <item x="306"/>
        <item x="109"/>
        <item x="236"/>
        <item x="873"/>
        <item x="262"/>
        <item x="797"/>
        <item x="736"/>
        <item x="926"/>
        <item x="198"/>
        <item x="173"/>
        <item x="196"/>
        <item x="546"/>
        <item x="864"/>
        <item x="918"/>
        <item x="50"/>
        <item x="808"/>
        <item x="545"/>
        <item x="409"/>
        <item x="160"/>
        <item x="701"/>
        <item x="373"/>
        <item x="271"/>
        <item x="35"/>
        <item x="616"/>
        <item x="626"/>
        <item x="33"/>
        <item x="370"/>
        <item x="769"/>
        <item x="672"/>
        <item x="951"/>
        <item x="689"/>
        <item x="669"/>
        <item x="232"/>
        <item x="936"/>
        <item x="980"/>
        <item x="191"/>
        <item x="617"/>
        <item x="482"/>
        <item x="731"/>
        <item x="76"/>
        <item x="45"/>
        <item x="714"/>
        <item x="902"/>
        <item x="353"/>
        <item x="695"/>
        <item x="363"/>
        <item x="217"/>
        <item x="260"/>
        <item x="331"/>
        <item x="760"/>
        <item x="72"/>
        <item x="491"/>
        <item x="157"/>
        <item x="204"/>
        <item x="539"/>
        <item x="189"/>
        <item x="6"/>
        <item x="20"/>
        <item x="509"/>
        <item x="329"/>
        <item x="622"/>
        <item x="867"/>
        <item x="493"/>
        <item x="208"/>
        <item x="894"/>
        <item x="8"/>
        <item x="252"/>
        <item x="843"/>
        <item x="184"/>
        <item x="37"/>
        <item x="24"/>
        <item x="401"/>
        <item x="533"/>
        <item x="513"/>
        <item x="811"/>
        <item x="441"/>
        <item x="82"/>
        <item x="842"/>
        <item x="70"/>
        <item x="800"/>
        <item x="122"/>
        <item x="812"/>
        <item x="477"/>
        <item x="925"/>
        <item x="456"/>
        <item x="578"/>
        <item x="87"/>
        <item x="954"/>
        <item x="738"/>
        <item x="783"/>
        <item x="774"/>
        <item x="389"/>
        <item x="639"/>
        <item x="907"/>
        <item x="26"/>
        <item x="687"/>
        <item x="174"/>
        <item x="598"/>
        <item x="455"/>
        <item x="820"/>
        <item x="747"/>
        <item x="524"/>
        <item x="105"/>
        <item x="433"/>
        <item x="964"/>
        <item x="625"/>
        <item x="399"/>
        <item x="66"/>
        <item x="544"/>
        <item x="966"/>
        <item x="34"/>
        <item x="439"/>
        <item x="417"/>
        <item x="630"/>
        <item x="5"/>
        <item x="611"/>
        <item x="222"/>
        <item x="98"/>
        <item x="2"/>
        <item x="991"/>
        <item x="937"/>
        <item x="577"/>
        <item x="334"/>
        <item x="756"/>
        <item x="519"/>
        <item x="612"/>
        <item x="728"/>
        <item x="944"/>
        <item x="310"/>
        <item x="385"/>
        <item x="425"/>
        <item x="119"/>
        <item x="220"/>
        <item x="86"/>
        <item x="96"/>
        <item x="205"/>
        <item x="986"/>
        <item x="398"/>
        <item x="226"/>
        <item x="472"/>
        <item x="164"/>
        <item x="858"/>
        <item x="156"/>
        <item x="974"/>
        <item x="480"/>
        <item x="892"/>
        <item x="95"/>
        <item t="default"/>
      </items>
    </pivotField>
    <pivotField showAll="0"/>
    <pivotField showAll="0"/>
    <pivotField showAll="0"/>
    <pivotField axis="axisRow" dataField="1" showAll="0">
      <items count="4">
        <item x="2"/>
        <item x="0"/>
        <item x="1"/>
        <item t="default"/>
      </items>
    </pivotField>
    <pivotField showAll="0"/>
    <pivotField showAll="0">
      <items count="7">
        <item x="1"/>
        <item x="3"/>
        <item x="5"/>
        <item x="2"/>
        <item x="4"/>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order_cateogr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6D87B5-D605-EC4C-81CD-FA528334DEE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0" firstHeaderRow="1" firstDataRow="1" firstDataCol="1"/>
  <pivotFields count="2">
    <pivotField showAll="0"/>
    <pivotField axis="axisRow" dataField="1" showAll="0">
      <items count="5">
        <item x="1"/>
        <item x="0"/>
        <item x="2"/>
        <item x="3"/>
        <item t="default"/>
      </items>
    </pivotField>
  </pivotFields>
  <rowFields count="1">
    <field x="1"/>
  </rowFields>
  <rowItems count="5">
    <i>
      <x/>
    </i>
    <i>
      <x v="1"/>
    </i>
    <i>
      <x v="2"/>
    </i>
    <i>
      <x v="3"/>
    </i>
    <i t="grand">
      <x/>
    </i>
  </rowItems>
  <colItems count="1">
    <i/>
  </colItems>
  <dataFields count="1">
    <dataField name="Count of cancel_reas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C7665253-8DCE-6149-9386-C4D4E7387DA9}" autoFormatId="16" applyNumberFormats="0" applyBorderFormats="0" applyFontFormats="0" applyPatternFormats="0" applyAlignmentFormats="0" applyWidthHeightFormats="0">
  <queryTableRefresh nextId="12">
    <queryTableFields count="11">
      <queryTableField id="1" name="order_id" tableColumnId="1"/>
      <queryTableField id="2" name="customer_id" tableColumnId="2"/>
      <queryTableField id="3" name="city" tableColumnId="3"/>
      <queryTableField id="4" name="order_time" tableColumnId="4"/>
      <queryTableField id="5" name="delivery_time" tableColumnId="5"/>
      <queryTableField id="9" dataBound="0" tableColumnId="9"/>
      <queryTableField id="6" name="order_value" tableColumnId="6"/>
      <queryTableField id="10" dataBound="0" tableColumnId="10"/>
      <queryTableField id="11" dataBound="0" tableColumnId="11"/>
      <queryTableField id="7" name="payment_mode" tableColumnId="7"/>
      <queryTableField id="8" name="order_statu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EE36CB2-A346-CF44-A178-2D551BE86EC9}" autoFormatId="16" applyNumberFormats="0" applyBorderFormats="0" applyFontFormats="0" applyPatternFormats="0" applyAlignmentFormats="0" applyWidthHeightFormats="0">
  <queryTableRefresh nextId="6">
    <queryTableFields count="5">
      <queryTableField id="1" name="customer_id" tableColumnId="1"/>
      <queryTableField id="2" name="signup_date" tableColumnId="2"/>
      <queryTableField id="3" name="age" tableColumnId="3"/>
      <queryTableField id="4" name="gender" tableColumnId="4"/>
      <queryTableField id="5" name="membership_typ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FD0DD3AC-FA39-BD45-86C2-041CEAE833AC}" autoFormatId="16" applyNumberFormats="0" applyBorderFormats="0" applyFontFormats="0" applyPatternFormats="0" applyAlignmentFormats="0" applyWidthHeightFormats="0">
  <queryTableRefresh nextId="5">
    <queryTableFields count="4">
      <queryTableField id="1" name="partner_id" tableColumnId="1"/>
      <queryTableField id="2" name="city" tableColumnId="2"/>
      <queryTableField id="3" name="avg_rating" tableColumnId="3"/>
      <queryTableField id="4" name="joining_dat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5FF4922-F4DF-ED45-88D2-784B4E87C5B8}" sourceName="city">
  <pivotTables>
    <pivotTable tabId="11" name="PivotTable1"/>
    <pivotTable tabId="11" name="PivotTable2"/>
    <pivotTable tabId="11" name="PivotTable3"/>
    <pivotTable tabId="11" name="PivotTable4"/>
    <pivotTable tabId="11" name="PivotTable5"/>
    <pivotTable tabId="11" name="PivotTable6"/>
    <pivotTable tabId="11" name="PivotTable8"/>
  </pivotTables>
  <data>
    <tabular pivotCacheId="421327858">
      <items count="9">
        <i x="4" s="1"/>
        <i x="5" s="1"/>
        <i x="3" s="1"/>
        <i x="6" s="1"/>
        <i x="0" s="1"/>
        <i x="1" s="1"/>
        <i x="2" s="1"/>
        <i x="7" s="1"/>
        <i x="8"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0759ADB-33DA-2447-97BD-A9A715E6DE5E}" sourceName="payment_mode">
  <pivotTables>
    <pivotTable tabId="11" name="PivotTable4"/>
    <pivotTable tabId="11" name="PivotTable1"/>
    <pivotTable tabId="11" name="PivotTable2"/>
    <pivotTable tabId="11" name="PivotTable3"/>
    <pivotTable tabId="11" name="PivotTable5"/>
    <pivotTable tabId="11" name="PivotTable6"/>
    <pivotTable tabId="11" name="PivotTable8"/>
  </pivotTables>
  <data>
    <tabular pivotCacheId="421327858">
      <items count="6">
        <i x="1" s="1"/>
        <i x="3" s="1"/>
        <i x="5"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724E277-11EC-EA4F-8051-2A67CBBDCE00}" cache="Slicer_city" caption="city" rowHeight="251883"/>
  <slicer name="payment_mode" xr10:uid="{822D519B-FC3F-8445-A193-BA014FB17D2C}" cache="Slicer_payment_mode" caption="payment_mod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1A7A6BA-E624-F246-AC03-0359D30F853B}" cache="Slicer_city" caption="city" style="SlicerStyleDark1" rowHeight="640080"/>
  <slicer name="payment_mode 1" xr10:uid="{B5E6FC3E-4752-E74F-92C0-EC9720CA9AF3}" cache="Slicer_payment_mode" caption="payment_mode" style="SlicerStyleDark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E766D8-1DE2-C843-A79A-98492232C2E0}" name="quick_commerce_orders" displayName="quick_commerce_orders" ref="A3:K1003" tableType="queryTable" totalsRowShown="0" headerRowDxfId="30" dataDxfId="29">
  <autoFilter ref="A3:K1003" xr:uid="{90E766D8-1DE2-C843-A79A-98492232C2E0}"/>
  <tableColumns count="11">
    <tableColumn id="1" xr3:uid="{A41BB20F-73FC-D444-86F5-F4421E3315A0}" uniqueName="1" name="order_id" queryTableFieldId="1" dataDxfId="28"/>
    <tableColumn id="2" xr3:uid="{F3D9A4A6-00A6-EF45-987F-FB0FECDF4B34}" uniqueName="2" name="customer_id" queryTableFieldId="2" dataDxfId="27"/>
    <tableColumn id="3" xr3:uid="{74C37428-1AA3-5B46-8426-97A1E2351C88}" uniqueName="3" name="city" queryTableFieldId="3" dataDxfId="26"/>
    <tableColumn id="4" xr3:uid="{4AF2602B-2122-464F-A043-0B3BF16D9CEC}" uniqueName="4" name="order_time" queryTableFieldId="4" dataDxfId="25"/>
    <tableColumn id="5" xr3:uid="{30C0FA40-1A45-1745-8C2E-B504E0C95018}" uniqueName="5" name="delivery_time" queryTableFieldId="5" dataDxfId="24"/>
    <tableColumn id="9" xr3:uid="{92564C54-C74C-1944-BEBE-F59D93590B55}" uniqueName="9" name="delivery_minutes" queryTableFieldId="9" dataDxfId="23">
      <calculatedColumnFormula>IF($K4="cancelled"," ",(quick_commerce_orders[[#This Row],[delivery_time]]-quick_commerce_orders[[#This Row],[order_time]])*1440)</calculatedColumnFormula>
    </tableColumn>
    <tableColumn id="6" xr3:uid="{D2037E28-DB06-A040-A192-D5EF30E635E5}" uniqueName="6" name="order_value" queryTableFieldId="6" dataDxfId="22"/>
    <tableColumn id="10" xr3:uid="{07A7BEB6-3F97-E946-B8BE-86EA6D115939}" uniqueName="10" name="order_cateogry" queryTableFieldId="10" dataDxfId="21">
      <calculatedColumnFormula>IF(quick_commerce_orders[[#This Row],[order_value]]&lt;500,"Low",IF(quick_commerce_orders[[#This Row],[order_value]]&gt;1500,"High","Moderate"))</calculatedColumnFormula>
    </tableColumn>
    <tableColumn id="11" xr3:uid="{C4814B60-42EB-A046-B81D-523382BD364E}" uniqueName="11" name="Duration" queryTableFieldId="11" dataDxfId="20">
      <calculatedColumnFormula>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calculatedColumnFormula>
    </tableColumn>
    <tableColumn id="7" xr3:uid="{DE0BD817-3641-7A4F-91A1-ABB50B764312}" uniqueName="7" name="payment_mode" queryTableFieldId="7" dataDxfId="19"/>
    <tableColumn id="8" xr3:uid="{183E34B7-63EF-DD4E-A9AB-94847C7BFE4F}" uniqueName="8" name="order_status" queryTableFieldId="8" dataDxfId="1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24D679-CE23-2E4F-B086-262223AB9150}" name="customers" displayName="customers" ref="A3:E998" tableType="queryTable" totalsRowShown="0" headerRowDxfId="17" dataDxfId="16">
  <autoFilter ref="A3:E998" xr:uid="{3F24D679-CE23-2E4F-B086-262223AB9150}"/>
  <tableColumns count="5">
    <tableColumn id="1" xr3:uid="{5758A6DF-296E-4546-BCD6-A3675C59DD78}" uniqueName="1" name="customer_id" queryTableFieldId="1" dataDxfId="15"/>
    <tableColumn id="2" xr3:uid="{E1FE6506-0785-0542-83A6-13B8447B97B8}" uniqueName="2" name="signup_date" queryTableFieldId="2" dataDxfId="14"/>
    <tableColumn id="3" xr3:uid="{8FAE7E90-C065-7F4E-8205-78F21D3D6C3A}" uniqueName="3" name="age" queryTableFieldId="3" dataDxfId="13"/>
    <tableColumn id="4" xr3:uid="{07029A2B-FD16-154A-8675-B95C0CA6D57A}" uniqueName="4" name="gender" queryTableFieldId="4" dataDxfId="12"/>
    <tableColumn id="5" xr3:uid="{1CA8670E-DBB5-9844-B6C4-BE74E18715E5}" uniqueName="5" name="membership_type" queryTableFieldId="5" dataDxfId="1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8F5F81-F837-564E-BF23-EFDBBEB9889C}" name="delivery_partners" displayName="delivery_partners" ref="A3:D162" tableType="queryTable" totalsRowShown="0" headerRowDxfId="10" dataDxfId="9">
  <autoFilter ref="A3:D162" xr:uid="{6B8F5F81-F837-564E-BF23-EFDBBEB9889C}"/>
  <tableColumns count="4">
    <tableColumn id="1" xr3:uid="{B815FC59-455D-A745-8F04-0D31ABD3738A}" uniqueName="1" name="partner_id" queryTableFieldId="1" dataDxfId="8"/>
    <tableColumn id="2" xr3:uid="{9DD6008A-36FA-1642-88E4-28AA0558A4AF}" uniqueName="2" name="city" queryTableFieldId="2" dataDxfId="7"/>
    <tableColumn id="3" xr3:uid="{7EABD503-7F8F-6C47-B74C-E04154F045A9}" uniqueName="3" name="avg_rating" queryTableFieldId="3" dataDxfId="6"/>
    <tableColumn id="4" xr3:uid="{B485AA37-DD88-3B4E-A50E-E8A943B305B2}" uniqueName="4" name="joining_date" queryTableFieldId="4" dataDxfId="5"/>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1724BA-4F39-7247-AC42-585178BCE52E}" name="Table6" displayName="Table6" ref="A1:B76" totalsRowShown="0" headerRowDxfId="4">
  <autoFilter ref="A1:B76" xr:uid="{2A1724BA-4F39-7247-AC42-585178BCE52E}"/>
  <tableColumns count="2">
    <tableColumn id="1" xr3:uid="{D671AEF5-4B25-2847-9496-7151F98E7FC2}" name="order_id" dataDxfId="3"/>
    <tableColumn id="2" xr3:uid="{03F60B1C-570A-1945-9D4A-0EB0B8455504}" name="cancel_reason"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9719A-6E98-9941-A6CE-A22009FEC187}">
  <dimension ref="A1:K1003"/>
  <sheetViews>
    <sheetView tabSelected="1" workbookViewId="0">
      <selection activeCell="I8" sqref="I8"/>
    </sheetView>
  </sheetViews>
  <sheetFormatPr baseColWidth="10" defaultRowHeight="16" x14ac:dyDescent="0.2"/>
  <cols>
    <col min="1" max="1" width="12.83203125" bestFit="1" customWidth="1"/>
    <col min="2" max="2" width="16.5" bestFit="1" customWidth="1"/>
    <col min="3" max="3" width="10.6640625" bestFit="1" customWidth="1"/>
    <col min="4" max="4" width="15.1640625" bestFit="1" customWidth="1"/>
    <col min="5" max="5" width="17.1640625" bestFit="1" customWidth="1"/>
    <col min="6" max="6" width="20.1640625" bestFit="1" customWidth="1"/>
    <col min="7" max="7" width="15.6640625" bestFit="1" customWidth="1"/>
    <col min="8" max="8" width="18.5" bestFit="1" customWidth="1"/>
    <col min="9" max="9" width="13.33203125" bestFit="1" customWidth="1"/>
    <col min="10" max="10" width="18.83203125" bestFit="1" customWidth="1"/>
    <col min="11" max="11" width="16.6640625" bestFit="1" customWidth="1"/>
  </cols>
  <sheetData>
    <row r="1" spans="1:11" x14ac:dyDescent="0.2">
      <c r="A1" s="21" t="s">
        <v>2020</v>
      </c>
      <c r="B1" s="21"/>
      <c r="C1" s="21"/>
      <c r="D1" s="21"/>
      <c r="E1" s="21"/>
      <c r="F1" s="21"/>
      <c r="G1" s="21"/>
      <c r="H1" s="21"/>
      <c r="I1" s="21"/>
      <c r="J1" s="21"/>
      <c r="K1" s="21"/>
    </row>
    <row r="2" spans="1:11" x14ac:dyDescent="0.2">
      <c r="A2" s="21"/>
      <c r="B2" s="21"/>
      <c r="C2" s="21"/>
      <c r="D2" s="21"/>
      <c r="E2" s="21"/>
      <c r="F2" s="21"/>
      <c r="G2" s="21"/>
      <c r="H2" s="21"/>
      <c r="I2" s="21"/>
      <c r="J2" s="21"/>
      <c r="K2" s="21"/>
    </row>
    <row r="3" spans="1:11" x14ac:dyDescent="0.2">
      <c r="A3" s="5" t="s">
        <v>0</v>
      </c>
      <c r="B3" s="5" t="s">
        <v>1</v>
      </c>
      <c r="C3" s="5" t="s">
        <v>2</v>
      </c>
      <c r="D3" s="5" t="s">
        <v>3</v>
      </c>
      <c r="E3" s="5" t="s">
        <v>4</v>
      </c>
      <c r="F3" s="8" t="s">
        <v>2200</v>
      </c>
      <c r="G3" s="5" t="s">
        <v>5</v>
      </c>
      <c r="H3" s="8" t="s">
        <v>2201</v>
      </c>
      <c r="I3" s="8" t="s">
        <v>2202</v>
      </c>
      <c r="J3" s="5" t="s">
        <v>6</v>
      </c>
      <c r="K3" s="5" t="s">
        <v>7</v>
      </c>
    </row>
    <row r="4" spans="1:11" x14ac:dyDescent="0.2">
      <c r="A4" s="2" t="s">
        <v>8</v>
      </c>
      <c r="B4" s="2" t="s">
        <v>9</v>
      </c>
      <c r="C4" s="2" t="s">
        <v>10</v>
      </c>
      <c r="D4" s="3">
        <v>46154.58116898148</v>
      </c>
      <c r="E4" s="3">
        <v>46154.61241898148</v>
      </c>
      <c r="F4" s="9">
        <f>IF($K4="cancelled"," ",(quick_commerce_orders[[#This Row],[delivery_time]]-quick_commerce_orders[[#This Row],[order_time]])*1440)</f>
        <v>45</v>
      </c>
      <c r="G4" s="2">
        <v>196.57</v>
      </c>
      <c r="H4" s="2" t="str">
        <f>IF(quick_commerce_orders[[#This Row],[order_value]]&lt;500,"Low",IF(quick_commerce_orders[[#This Row],[order_value]]&gt;1500,"High","Moderate"))</f>
        <v>Low</v>
      </c>
      <c r="I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 s="2" t="s">
        <v>11</v>
      </c>
      <c r="K4" s="2" t="s">
        <v>12</v>
      </c>
    </row>
    <row r="5" spans="1:11" x14ac:dyDescent="0.2">
      <c r="A5" s="2" t="s">
        <v>13</v>
      </c>
      <c r="B5" s="2" t="s">
        <v>14</v>
      </c>
      <c r="C5" s="2" t="s">
        <v>10</v>
      </c>
      <c r="D5" s="3">
        <v>46154.078761574077</v>
      </c>
      <c r="E5" s="3">
        <v>46154.087789351855</v>
      </c>
      <c r="F5" s="9">
        <f>IF($K5="cancelled"," ",(quick_commerce_orders[[#This Row],[delivery_time]]-quick_commerce_orders[[#This Row],[order_time]])*1440)</f>
        <v>13.000000000465661</v>
      </c>
      <c r="G5" s="2">
        <v>267.93</v>
      </c>
      <c r="H5" s="2" t="str">
        <f>IF(quick_commerce_orders[[#This Row],[order_value]]&lt;500,"Low",IF(quick_commerce_orders[[#This Row],[order_value]]&gt;1500,"High","Moderate"))</f>
        <v>Low</v>
      </c>
      <c r="I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 s="2" t="s">
        <v>15</v>
      </c>
      <c r="K5" s="2" t="s">
        <v>16</v>
      </c>
    </row>
    <row r="6" spans="1:11" x14ac:dyDescent="0.2">
      <c r="A6" s="2" t="s">
        <v>17</v>
      </c>
      <c r="B6" s="2" t="s">
        <v>18</v>
      </c>
      <c r="C6" s="2" t="s">
        <v>19</v>
      </c>
      <c r="D6" s="3">
        <v>46174.249849537038</v>
      </c>
      <c r="E6" s="3">
        <v>46174.257488425923</v>
      </c>
      <c r="F6" s="9">
        <f>IF($K6="cancelled"," ",(quick_commerce_orders[[#This Row],[delivery_time]]-quick_commerce_orders[[#This Row],[order_time]])*1440)</f>
        <v>10.999999993946403</v>
      </c>
      <c r="G6" s="2">
        <v>828.37</v>
      </c>
      <c r="H6" s="2" t="str">
        <f>IF(quick_commerce_orders[[#This Row],[order_value]]&lt;500,"Low",IF(quick_commerce_orders[[#This Row],[order_value]]&gt;1500,"High","Moderate"))</f>
        <v>Moderate</v>
      </c>
      <c r="I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 s="2" t="s">
        <v>20</v>
      </c>
      <c r="K6" s="2" t="s">
        <v>16</v>
      </c>
    </row>
    <row r="7" spans="1:11" x14ac:dyDescent="0.2">
      <c r="A7" s="2" t="s">
        <v>21</v>
      </c>
      <c r="B7" s="2" t="s">
        <v>22</v>
      </c>
      <c r="C7" s="2" t="s">
        <v>10</v>
      </c>
      <c r="D7" s="3">
        <v>46161.041886574072</v>
      </c>
      <c r="E7" s="3">
        <v>46161.052303240744</v>
      </c>
      <c r="F7" s="9">
        <f>IF($K7="cancelled"," ",(quick_commerce_orders[[#This Row],[delivery_time]]-quick_commerce_orders[[#This Row],[order_time]])*1440)</f>
        <v>15.000000006984919</v>
      </c>
      <c r="G7" s="2">
        <v>2366.0500000000002</v>
      </c>
      <c r="H7" s="2" t="str">
        <f>IF(quick_commerce_orders[[#This Row],[order_value]]&lt;500,"Low",IF(quick_commerce_orders[[#This Row],[order_value]]&gt;1500,"High","Moderate"))</f>
        <v>High</v>
      </c>
      <c r="I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 s="2" t="s">
        <v>11</v>
      </c>
      <c r="K7" s="2" t="s">
        <v>16</v>
      </c>
    </row>
    <row r="8" spans="1:11" x14ac:dyDescent="0.2">
      <c r="A8" s="2" t="s">
        <v>23</v>
      </c>
      <c r="B8" s="2" t="s">
        <v>24</v>
      </c>
      <c r="C8" s="2" t="s">
        <v>19</v>
      </c>
      <c r="D8" s="3">
        <v>46149.429502314815</v>
      </c>
      <c r="E8" s="3">
        <v>46149.441307870373</v>
      </c>
      <c r="F8" s="9">
        <f>IF($K8="cancelled"," ",(quick_commerce_orders[[#This Row],[delivery_time]]-quick_commerce_orders[[#This Row],[order_time]])*1440)</f>
        <v>17.000000003026798</v>
      </c>
      <c r="G8" s="2">
        <v>2404.41</v>
      </c>
      <c r="H8" s="2" t="str">
        <f>IF(quick_commerce_orders[[#This Row],[order_value]]&lt;500,"Low",IF(quick_commerce_orders[[#This Row],[order_value]]&gt;1500,"High","Moderate"))</f>
        <v>High</v>
      </c>
      <c r="I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 s="2" t="s">
        <v>15</v>
      </c>
      <c r="K8" s="2" t="s">
        <v>16</v>
      </c>
    </row>
    <row r="9" spans="1:11" x14ac:dyDescent="0.2">
      <c r="A9" s="2" t="s">
        <v>25</v>
      </c>
      <c r="B9" s="2" t="s">
        <v>26</v>
      </c>
      <c r="C9" s="2" t="s">
        <v>27</v>
      </c>
      <c r="D9" s="3">
        <v>46174.20453703704</v>
      </c>
      <c r="E9" s="3">
        <v>46174.213564814818</v>
      </c>
      <c r="F9" s="9">
        <f>IF($K9="cancelled"," ",(quick_commerce_orders[[#This Row],[delivery_time]]-quick_commerce_orders[[#This Row],[order_time]])*1440)</f>
        <v>13.000000000465661</v>
      </c>
      <c r="G9" s="2">
        <v>332.09</v>
      </c>
      <c r="H9" s="2" t="str">
        <f>IF(quick_commerce_orders[[#This Row],[order_value]]&lt;500,"Low",IF(quick_commerce_orders[[#This Row],[order_value]]&gt;1500,"High","Moderate"))</f>
        <v>Low</v>
      </c>
      <c r="I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 s="2" t="s">
        <v>28</v>
      </c>
      <c r="K9" s="2" t="s">
        <v>16</v>
      </c>
    </row>
    <row r="10" spans="1:11" x14ac:dyDescent="0.2">
      <c r="A10" s="2" t="s">
        <v>29</v>
      </c>
      <c r="B10" s="2" t="s">
        <v>30</v>
      </c>
      <c r="C10" s="2" t="s">
        <v>31</v>
      </c>
      <c r="D10" s="3">
        <v>46172.342256944445</v>
      </c>
      <c r="E10" s="3">
        <v>46172.347812499997</v>
      </c>
      <c r="F10" s="9">
        <f>IF($K10="cancelled"," ",(quick_commerce_orders[[#This Row],[delivery_time]]-quick_commerce_orders[[#This Row],[order_time]])*1440)</f>
        <v>7.9999999946448952</v>
      </c>
      <c r="G10" s="2">
        <v>1839.41</v>
      </c>
      <c r="H10" s="2" t="str">
        <f>IF(quick_commerce_orders[[#This Row],[order_value]]&lt;500,"Low",IF(quick_commerce_orders[[#This Row],[order_value]]&gt;1500,"High","Moderate"))</f>
        <v>High</v>
      </c>
      <c r="I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0" s="2" t="s">
        <v>11</v>
      </c>
      <c r="K10" s="2" t="s">
        <v>16</v>
      </c>
    </row>
    <row r="11" spans="1:11" x14ac:dyDescent="0.2">
      <c r="A11" s="2" t="s">
        <v>32</v>
      </c>
      <c r="B11" s="2" t="s">
        <v>33</v>
      </c>
      <c r="C11" s="2" t="s">
        <v>34</v>
      </c>
      <c r="D11" s="3">
        <v>46150.424143518518</v>
      </c>
      <c r="E11" s="3">
        <v>46150.437337962961</v>
      </c>
      <c r="F11" s="9">
        <f>IF($K11="cancelled"," ",(quick_commerce_orders[[#This Row],[delivery_time]]-quick_commerce_orders[[#This Row],[order_time]])*1440)</f>
        <v>18.999999999068677</v>
      </c>
      <c r="G11" s="2">
        <v>1374.99</v>
      </c>
      <c r="H11" s="2" t="str">
        <f>IF(quick_commerce_orders[[#This Row],[order_value]]&lt;500,"Low",IF(quick_commerce_orders[[#This Row],[order_value]]&gt;1500,"High","Moderate"))</f>
        <v>Moderate</v>
      </c>
      <c r="I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1" s="2" t="s">
        <v>15</v>
      </c>
      <c r="K11" s="2" t="s">
        <v>16</v>
      </c>
    </row>
    <row r="12" spans="1:11" x14ac:dyDescent="0.2">
      <c r="A12" s="2" t="s">
        <v>35</v>
      </c>
      <c r="B12" s="2" t="s">
        <v>36</v>
      </c>
      <c r="C12" s="2" t="s">
        <v>19</v>
      </c>
      <c r="D12" s="3">
        <v>46172.844965277778</v>
      </c>
      <c r="E12" s="3">
        <v>46172.851909722223</v>
      </c>
      <c r="F12" s="9">
        <f>IF($K12="cancelled"," ",(quick_commerce_orders[[#This Row],[delivery_time]]-quick_commerce_orders[[#This Row],[order_time]])*1440)</f>
        <v>10.000000001164153</v>
      </c>
      <c r="G12" s="2">
        <v>553.70000000000005</v>
      </c>
      <c r="H12" s="2" t="str">
        <f>IF(quick_commerce_orders[[#This Row],[order_value]]&lt;500,"Low",IF(quick_commerce_orders[[#This Row],[order_value]]&gt;1500,"High","Moderate"))</f>
        <v>Moderate</v>
      </c>
      <c r="I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 s="2" t="s">
        <v>28</v>
      </c>
      <c r="K12" s="2" t="s">
        <v>16</v>
      </c>
    </row>
    <row r="13" spans="1:11" x14ac:dyDescent="0.2">
      <c r="A13" s="2" t="s">
        <v>37</v>
      </c>
      <c r="B13" s="2" t="s">
        <v>38</v>
      </c>
      <c r="C13" s="2" t="s">
        <v>19</v>
      </c>
      <c r="D13" s="3">
        <v>46154.032881944448</v>
      </c>
      <c r="E13" s="3">
        <v>46154.045381944445</v>
      </c>
      <c r="F13" s="9">
        <f>IF($K13="cancelled"," ",(quick_commerce_orders[[#This Row],[delivery_time]]-quick_commerce_orders[[#This Row],[order_time]])*1440)</f>
        <v>17.999999995809048</v>
      </c>
      <c r="G13" s="2">
        <v>1361.86</v>
      </c>
      <c r="H13" s="2" t="str">
        <f>IF(quick_commerce_orders[[#This Row],[order_value]]&lt;500,"Low",IF(quick_commerce_orders[[#This Row],[order_value]]&gt;1500,"High","Moderate"))</f>
        <v>Moderate</v>
      </c>
      <c r="I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3" s="2" t="s">
        <v>39</v>
      </c>
      <c r="K13" s="2" t="s">
        <v>16</v>
      </c>
    </row>
    <row r="14" spans="1:11" x14ac:dyDescent="0.2">
      <c r="A14" s="2" t="s">
        <v>40</v>
      </c>
      <c r="B14" s="2" t="s">
        <v>41</v>
      </c>
      <c r="C14" s="2" t="s">
        <v>42</v>
      </c>
      <c r="D14" s="3">
        <v>46161.780416666668</v>
      </c>
      <c r="E14" s="3">
        <v>46161.78597222222</v>
      </c>
      <c r="F14" s="9">
        <f>IF($K14="cancelled"," ",(quick_commerce_orders[[#This Row],[delivery_time]]-quick_commerce_orders[[#This Row],[order_time]])*1440)</f>
        <v>7.9999999946448952</v>
      </c>
      <c r="G14" s="2">
        <v>696.03</v>
      </c>
      <c r="H14" s="2" t="str">
        <f>IF(quick_commerce_orders[[#This Row],[order_value]]&lt;500,"Low",IF(quick_commerce_orders[[#This Row],[order_value]]&gt;1500,"High","Moderate"))</f>
        <v>Moderate</v>
      </c>
      <c r="I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 s="2" t="s">
        <v>39</v>
      </c>
      <c r="K14" s="2" t="s">
        <v>16</v>
      </c>
    </row>
    <row r="15" spans="1:11" x14ac:dyDescent="0.2">
      <c r="A15" s="2" t="s">
        <v>43</v>
      </c>
      <c r="B15" s="2" t="s">
        <v>44</v>
      </c>
      <c r="C15" s="2" t="s">
        <v>34</v>
      </c>
      <c r="D15" s="3">
        <v>46155.236041666663</v>
      </c>
      <c r="E15" s="3">
        <v>46155.247847222221</v>
      </c>
      <c r="F15" s="9">
        <f>IF($K15="cancelled"," ",(quick_commerce_orders[[#This Row],[delivery_time]]-quick_commerce_orders[[#This Row],[order_time]])*1440)</f>
        <v>17.000000003026798</v>
      </c>
      <c r="G15" s="2">
        <v>1599.78</v>
      </c>
      <c r="H15" s="2" t="str">
        <f>IF(quick_commerce_orders[[#This Row],[order_value]]&lt;500,"Low",IF(quick_commerce_orders[[#This Row],[order_value]]&gt;1500,"High","Moderate"))</f>
        <v>High</v>
      </c>
      <c r="I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5" s="2" t="s">
        <v>11</v>
      </c>
      <c r="K15" s="2" t="s">
        <v>16</v>
      </c>
    </row>
    <row r="16" spans="1:11" x14ac:dyDescent="0.2">
      <c r="A16" s="2" t="s">
        <v>45</v>
      </c>
      <c r="B16" s="2" t="s">
        <v>46</v>
      </c>
      <c r="C16" s="2" t="s">
        <v>27</v>
      </c>
      <c r="D16" s="3">
        <v>46168.564120370371</v>
      </c>
      <c r="E16" s="3">
        <v>46168.574537037035</v>
      </c>
      <c r="F16" s="9">
        <f>IF($K16="cancelled"," ",(quick_commerce_orders[[#This Row],[delivery_time]]-quick_commerce_orders[[#This Row],[order_time]])*1440)</f>
        <v>14.99999999650754</v>
      </c>
      <c r="G16" s="2">
        <v>528.35</v>
      </c>
      <c r="H16" s="2" t="str">
        <f>IF(quick_commerce_orders[[#This Row],[order_value]]&lt;500,"Low",IF(quick_commerce_orders[[#This Row],[order_value]]&gt;1500,"High","Moderate"))</f>
        <v>Moderate</v>
      </c>
      <c r="I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 s="2" t="s">
        <v>28</v>
      </c>
      <c r="K16" s="2" t="s">
        <v>16</v>
      </c>
    </row>
    <row r="17" spans="1:11" x14ac:dyDescent="0.2">
      <c r="A17" s="2" t="s">
        <v>47</v>
      </c>
      <c r="B17" s="2" t="s">
        <v>48</v>
      </c>
      <c r="C17" s="2" t="s">
        <v>42</v>
      </c>
      <c r="D17" s="3">
        <v>46148.529236111113</v>
      </c>
      <c r="E17" s="3">
        <v>46148.546597222223</v>
      </c>
      <c r="F17" s="9">
        <f>IF($K17="cancelled"," ",(quick_commerce_orders[[#This Row],[delivery_time]]-quick_commerce_orders[[#This Row],[order_time]])*1440)</f>
        <v>24.999999997671694</v>
      </c>
      <c r="G17" s="2">
        <v>1897.07</v>
      </c>
      <c r="H17" s="2" t="str">
        <f>IF(quick_commerce_orders[[#This Row],[order_value]]&lt;500,"Low",IF(quick_commerce_orders[[#This Row],[order_value]]&gt;1500,"High","Moderate"))</f>
        <v>High</v>
      </c>
      <c r="I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 s="2" t="s">
        <v>20</v>
      </c>
      <c r="K17" s="2" t="s">
        <v>12</v>
      </c>
    </row>
    <row r="18" spans="1:11" x14ac:dyDescent="0.2">
      <c r="A18" s="2" t="s">
        <v>49</v>
      </c>
      <c r="B18" s="2" t="s">
        <v>50</v>
      </c>
      <c r="C18" s="2" t="s">
        <v>31</v>
      </c>
      <c r="D18" s="3">
        <v>46154.187731481485</v>
      </c>
      <c r="E18" s="3">
        <v>46154.193287037036</v>
      </c>
      <c r="F18" s="9">
        <f>IF($K18="cancelled"," ",(quick_commerce_orders[[#This Row],[delivery_time]]-quick_commerce_orders[[#This Row],[order_time]])*1440)</f>
        <v>7.9999999946448952</v>
      </c>
      <c r="G18" s="2">
        <v>1095.44</v>
      </c>
      <c r="H18" s="2" t="str">
        <f>IF(quick_commerce_orders[[#This Row],[order_value]]&lt;500,"Low",IF(quick_commerce_orders[[#This Row],[order_value]]&gt;1500,"High","Moderate"))</f>
        <v>Moderate</v>
      </c>
      <c r="I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8" s="2" t="s">
        <v>11</v>
      </c>
      <c r="K18" s="2" t="s">
        <v>16</v>
      </c>
    </row>
    <row r="19" spans="1:11" x14ac:dyDescent="0.2">
      <c r="A19" s="2" t="s">
        <v>51</v>
      </c>
      <c r="B19" s="2" t="s">
        <v>52</v>
      </c>
      <c r="C19" s="2" t="s">
        <v>53</v>
      </c>
      <c r="D19" s="3">
        <v>46158.011388888888</v>
      </c>
      <c r="E19" s="3">
        <v>46158.023888888885</v>
      </c>
      <c r="F19" s="9">
        <f>IF($K19="cancelled"," ",(quick_commerce_orders[[#This Row],[delivery_time]]-quick_commerce_orders[[#This Row],[order_time]])*1440)</f>
        <v>17.999999995809048</v>
      </c>
      <c r="G19" s="2">
        <v>352.23</v>
      </c>
      <c r="H19" s="2" t="str">
        <f>IF(quick_commerce_orders[[#This Row],[order_value]]&lt;500,"Low",IF(quick_commerce_orders[[#This Row],[order_value]]&gt;1500,"High","Moderate"))</f>
        <v>Low</v>
      </c>
      <c r="I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 s="2" t="s">
        <v>39</v>
      </c>
      <c r="K19" s="2" t="s">
        <v>16</v>
      </c>
    </row>
    <row r="20" spans="1:11" x14ac:dyDescent="0.2">
      <c r="A20" s="2" t="s">
        <v>54</v>
      </c>
      <c r="B20" s="2" t="s">
        <v>55</v>
      </c>
      <c r="C20" s="2" t="s">
        <v>34</v>
      </c>
      <c r="D20" s="3">
        <v>46158.616863425923</v>
      </c>
      <c r="E20" s="3">
        <v>46158.623807870368</v>
      </c>
      <c r="F20" s="9">
        <f>IF($K20="cancelled"," ",(quick_commerce_orders[[#This Row],[delivery_time]]-quick_commerce_orders[[#This Row],[order_time]])*1440)</f>
        <v>10.000000001164153</v>
      </c>
      <c r="G20" s="2">
        <v>1631.7</v>
      </c>
      <c r="H20" s="2" t="str">
        <f>IF(quick_commerce_orders[[#This Row],[order_value]]&lt;500,"Low",IF(quick_commerce_orders[[#This Row],[order_value]]&gt;1500,"High","Moderate"))</f>
        <v>High</v>
      </c>
      <c r="I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 s="2" t="s">
        <v>20</v>
      </c>
      <c r="K20" s="2" t="s">
        <v>16</v>
      </c>
    </row>
    <row r="21" spans="1:11" x14ac:dyDescent="0.2">
      <c r="A21" s="2" t="s">
        <v>56</v>
      </c>
      <c r="B21" s="2" t="s">
        <v>57</v>
      </c>
      <c r="C21" s="2" t="s">
        <v>53</v>
      </c>
      <c r="D21" s="3">
        <v>46164.401226851849</v>
      </c>
      <c r="E21" s="3"/>
      <c r="F21" s="9" t="str">
        <f>IF($K21="cancelled"," ",(quick_commerce_orders[[#This Row],[delivery_time]]-quick_commerce_orders[[#This Row],[order_time]])*1440)</f>
        <v xml:space="preserve"> </v>
      </c>
      <c r="G21" s="2">
        <v>958.11</v>
      </c>
      <c r="H21" s="2" t="str">
        <f>IF(quick_commerce_orders[[#This Row],[order_value]]&lt;500,"Low",IF(quick_commerce_orders[[#This Row],[order_value]]&gt;1500,"High","Moderate"))</f>
        <v>Moderate</v>
      </c>
      <c r="I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 s="2" t="s">
        <v>15</v>
      </c>
      <c r="K21" s="2" t="s">
        <v>58</v>
      </c>
    </row>
    <row r="22" spans="1:11" x14ac:dyDescent="0.2">
      <c r="A22" s="2" t="s">
        <v>59</v>
      </c>
      <c r="B22" s="2" t="s">
        <v>60</v>
      </c>
      <c r="C22" s="2" t="s">
        <v>34</v>
      </c>
      <c r="D22" s="3">
        <v>46143.362071759257</v>
      </c>
      <c r="E22" s="3">
        <v>46143.371793981481</v>
      </c>
      <c r="F22" s="9">
        <f>IF($K22="cancelled"," ",(quick_commerce_orders[[#This Row],[delivery_time]]-quick_commerce_orders[[#This Row],[order_time]])*1440)</f>
        <v>14.00000000372529</v>
      </c>
      <c r="G22" s="2">
        <v>1199.93</v>
      </c>
      <c r="H22" s="2" t="str">
        <f>IF(quick_commerce_orders[[#This Row],[order_value]]&lt;500,"Low",IF(quick_commerce_orders[[#This Row],[order_value]]&gt;1500,"High","Moderate"))</f>
        <v>Moderate</v>
      </c>
      <c r="I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2" s="2" t="s">
        <v>39</v>
      </c>
      <c r="K22" s="2" t="s">
        <v>16</v>
      </c>
    </row>
    <row r="23" spans="1:11" x14ac:dyDescent="0.2">
      <c r="A23" s="2" t="s">
        <v>61</v>
      </c>
      <c r="B23" s="2" t="s">
        <v>62</v>
      </c>
      <c r="C23" s="2" t="s">
        <v>27</v>
      </c>
      <c r="D23" s="3">
        <v>46158.070914351854</v>
      </c>
      <c r="E23" s="3">
        <v>46158.082025462965</v>
      </c>
      <c r="F23" s="9">
        <f>IF($K23="cancelled"," ",(quick_commerce_orders[[#This Row],[delivery_time]]-quick_commerce_orders[[#This Row],[order_time]])*1440)</f>
        <v>15.999999999767169</v>
      </c>
      <c r="G23" s="2">
        <v>1695.58</v>
      </c>
      <c r="H23" s="2" t="str">
        <f>IF(quick_commerce_orders[[#This Row],[order_value]]&lt;500,"Low",IF(quick_commerce_orders[[#This Row],[order_value]]&gt;1500,"High","Moderate"))</f>
        <v>High</v>
      </c>
      <c r="I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3" s="2" t="s">
        <v>28</v>
      </c>
      <c r="K23" s="2" t="s">
        <v>16</v>
      </c>
    </row>
    <row r="24" spans="1:11" x14ac:dyDescent="0.2">
      <c r="A24" s="2" t="s">
        <v>63</v>
      </c>
      <c r="B24" s="2" t="s">
        <v>64</v>
      </c>
      <c r="C24" s="2" t="s">
        <v>42</v>
      </c>
      <c r="D24" s="3">
        <v>46172.382233796299</v>
      </c>
      <c r="E24" s="3"/>
      <c r="F24" s="9" t="str">
        <f>IF($K24="cancelled"," ",(quick_commerce_orders[[#This Row],[delivery_time]]-quick_commerce_orders[[#This Row],[order_time]])*1440)</f>
        <v xml:space="preserve"> </v>
      </c>
      <c r="G24" s="2">
        <v>2217.7800000000002</v>
      </c>
      <c r="H24" s="2" t="str">
        <f>IF(quick_commerce_orders[[#This Row],[order_value]]&lt;500,"Low",IF(quick_commerce_orders[[#This Row],[order_value]]&gt;1500,"High","Moderate"))</f>
        <v>High</v>
      </c>
      <c r="I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4" s="2" t="s">
        <v>11</v>
      </c>
      <c r="K24" s="2" t="s">
        <v>58</v>
      </c>
    </row>
    <row r="25" spans="1:11" x14ac:dyDescent="0.2">
      <c r="A25" s="2" t="s">
        <v>65</v>
      </c>
      <c r="B25" s="2" t="s">
        <v>66</v>
      </c>
      <c r="C25" s="2" t="s">
        <v>19</v>
      </c>
      <c r="D25" s="3">
        <v>46162.921990740739</v>
      </c>
      <c r="E25" s="3">
        <v>46162.935185185182</v>
      </c>
      <c r="F25" s="9">
        <f>IF($K25="cancelled"," ",(quick_commerce_orders[[#This Row],[delivery_time]]-quick_commerce_orders[[#This Row],[order_time]])*1440)</f>
        <v>18.999999999068677</v>
      </c>
      <c r="G25" s="2">
        <v>499.34</v>
      </c>
      <c r="H25" s="2" t="str">
        <f>IF(quick_commerce_orders[[#This Row],[order_value]]&lt;500,"Low",IF(quick_commerce_orders[[#This Row],[order_value]]&gt;1500,"High","Moderate"))</f>
        <v>Low</v>
      </c>
      <c r="I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 s="2" t="s">
        <v>11</v>
      </c>
      <c r="K25" s="2" t="s">
        <v>16</v>
      </c>
    </row>
    <row r="26" spans="1:11" x14ac:dyDescent="0.2">
      <c r="A26" s="2" t="s">
        <v>67</v>
      </c>
      <c r="B26" s="2" t="s">
        <v>68</v>
      </c>
      <c r="C26" s="2" t="s">
        <v>42</v>
      </c>
      <c r="D26" s="3">
        <v>46161.485578703701</v>
      </c>
      <c r="E26" s="3">
        <v>46161.498773148145</v>
      </c>
      <c r="F26" s="9">
        <f>IF($K26="cancelled"," ",(quick_commerce_orders[[#This Row],[delivery_time]]-quick_commerce_orders[[#This Row],[order_time]])*1440)</f>
        <v>18.999999999068677</v>
      </c>
      <c r="G26" s="2">
        <v>531.95000000000005</v>
      </c>
      <c r="H26" s="2" t="str">
        <f>IF(quick_commerce_orders[[#This Row],[order_value]]&lt;500,"Low",IF(quick_commerce_orders[[#This Row],[order_value]]&gt;1500,"High","Moderate"))</f>
        <v>Moderate</v>
      </c>
      <c r="I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6" s="2" t="s">
        <v>28</v>
      </c>
      <c r="K26" s="2" t="s">
        <v>16</v>
      </c>
    </row>
    <row r="27" spans="1:11" x14ac:dyDescent="0.2">
      <c r="A27" s="2" t="s">
        <v>69</v>
      </c>
      <c r="B27" s="2" t="s">
        <v>70</v>
      </c>
      <c r="C27" s="2" t="s">
        <v>53</v>
      </c>
      <c r="D27" s="3">
        <v>46157.187604166669</v>
      </c>
      <c r="E27" s="3">
        <v>46157.198020833333</v>
      </c>
      <c r="F27" s="9">
        <f>IF($K27="cancelled"," ",(quick_commerce_orders[[#This Row],[delivery_time]]-quick_commerce_orders[[#This Row],[order_time]])*1440)</f>
        <v>14.99999999650754</v>
      </c>
      <c r="G27" s="2">
        <v>1062.74</v>
      </c>
      <c r="H27" s="2" t="str">
        <f>IF(quick_commerce_orders[[#This Row],[order_value]]&lt;500,"Low",IF(quick_commerce_orders[[#This Row],[order_value]]&gt;1500,"High","Moderate"))</f>
        <v>Moderate</v>
      </c>
      <c r="I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7" s="2" t="s">
        <v>39</v>
      </c>
      <c r="K27" s="2" t="s">
        <v>16</v>
      </c>
    </row>
    <row r="28" spans="1:11" x14ac:dyDescent="0.2">
      <c r="A28" s="2" t="s">
        <v>71</v>
      </c>
      <c r="B28" s="2" t="s">
        <v>72</v>
      </c>
      <c r="C28" s="2" t="s">
        <v>34</v>
      </c>
      <c r="D28" s="3">
        <v>46172.984988425924</v>
      </c>
      <c r="E28" s="3">
        <v>46173.01971064815</v>
      </c>
      <c r="F28" s="9">
        <f>IF($K28="cancelled"," ",(quick_commerce_orders[[#This Row],[delivery_time]]-quick_commerce_orders[[#This Row],[order_time]])*1440)</f>
        <v>50.000000005820766</v>
      </c>
      <c r="G28" s="2">
        <v>909.03</v>
      </c>
      <c r="H28" s="2" t="str">
        <f>IF(quick_commerce_orders[[#This Row],[order_value]]&lt;500,"Low",IF(quick_commerce_orders[[#This Row],[order_value]]&gt;1500,"High","Moderate"))</f>
        <v>Moderate</v>
      </c>
      <c r="I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 s="2" t="s">
        <v>28</v>
      </c>
      <c r="K28" s="2" t="s">
        <v>12</v>
      </c>
    </row>
    <row r="29" spans="1:11" x14ac:dyDescent="0.2">
      <c r="A29" s="2" t="s">
        <v>73</v>
      </c>
      <c r="B29" s="2" t="s">
        <v>74</v>
      </c>
      <c r="C29" s="2" t="s">
        <v>75</v>
      </c>
      <c r="D29" s="3">
        <v>46169.941643518519</v>
      </c>
      <c r="E29" s="3">
        <v>46169.95275462963</v>
      </c>
      <c r="F29" s="9">
        <f>IF($K29="cancelled"," ",(quick_commerce_orders[[#This Row],[delivery_time]]-quick_commerce_orders[[#This Row],[order_time]])*1440)</f>
        <v>15.999999999767169</v>
      </c>
      <c r="G29" s="2">
        <v>478.62</v>
      </c>
      <c r="H29" s="2" t="str">
        <f>IF(quick_commerce_orders[[#This Row],[order_value]]&lt;500,"Low",IF(quick_commerce_orders[[#This Row],[order_value]]&gt;1500,"High","Moderate"))</f>
        <v>Low</v>
      </c>
      <c r="I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9" s="2" t="s">
        <v>11</v>
      </c>
      <c r="K29" s="2" t="s">
        <v>16</v>
      </c>
    </row>
    <row r="30" spans="1:11" x14ac:dyDescent="0.2">
      <c r="A30" s="2" t="s">
        <v>76</v>
      </c>
      <c r="B30" s="2" t="s">
        <v>77</v>
      </c>
      <c r="C30" s="2" t="s">
        <v>31</v>
      </c>
      <c r="D30" s="3">
        <v>46173.74423611111</v>
      </c>
      <c r="E30" s="3">
        <v>46173.750486111108</v>
      </c>
      <c r="F30" s="9">
        <f>IF($K30="cancelled"," ",(quick_commerce_orders[[#This Row],[delivery_time]]-quick_commerce_orders[[#This Row],[order_time]])*1440)</f>
        <v>8.9999999979045242</v>
      </c>
      <c r="G30" s="2">
        <v>2495.2399999999998</v>
      </c>
      <c r="H30" s="2" t="str">
        <f>IF(quick_commerce_orders[[#This Row],[order_value]]&lt;500,"Low",IF(quick_commerce_orders[[#This Row],[order_value]]&gt;1500,"High","Moderate"))</f>
        <v>High</v>
      </c>
      <c r="I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 s="2" t="s">
        <v>39</v>
      </c>
      <c r="K30" s="2" t="s">
        <v>16</v>
      </c>
    </row>
    <row r="31" spans="1:11" x14ac:dyDescent="0.2">
      <c r="A31" s="2" t="s">
        <v>78</v>
      </c>
      <c r="B31" s="2" t="s">
        <v>79</v>
      </c>
      <c r="C31" s="2" t="s">
        <v>19</v>
      </c>
      <c r="D31" s="3">
        <v>46156.322083333333</v>
      </c>
      <c r="E31" s="3">
        <v>46156.335972222223</v>
      </c>
      <c r="F31" s="9">
        <f>IF($K31="cancelled"," ",(quick_commerce_orders[[#This Row],[delivery_time]]-quick_commerce_orders[[#This Row],[order_time]])*1440)</f>
        <v>20.000000002328306</v>
      </c>
      <c r="G31" s="2">
        <v>1162.23</v>
      </c>
      <c r="H31" s="2" t="str">
        <f>IF(quick_commerce_orders[[#This Row],[order_value]]&lt;500,"Low",IF(quick_commerce_orders[[#This Row],[order_value]]&gt;1500,"High","Moderate"))</f>
        <v>Moderate</v>
      </c>
      <c r="I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1" s="2" t="s">
        <v>80</v>
      </c>
      <c r="K31" s="2" t="s">
        <v>16</v>
      </c>
    </row>
    <row r="32" spans="1:11" x14ac:dyDescent="0.2">
      <c r="A32" s="2" t="s">
        <v>81</v>
      </c>
      <c r="B32" s="2" t="s">
        <v>82</v>
      </c>
      <c r="C32" s="2" t="s">
        <v>53</v>
      </c>
      <c r="D32" s="3">
        <v>46148.686493055553</v>
      </c>
      <c r="E32" s="3">
        <v>46148.706631944442</v>
      </c>
      <c r="F32" s="9">
        <f>IF($K32="cancelled"," ",(quick_commerce_orders[[#This Row],[delivery_time]]-quick_commerce_orders[[#This Row],[order_time]])*1440)</f>
        <v>29.000000000232831</v>
      </c>
      <c r="G32" s="2">
        <v>944.58</v>
      </c>
      <c r="H32" s="2" t="str">
        <f>IF(quick_commerce_orders[[#This Row],[order_value]]&lt;500,"Low",IF(quick_commerce_orders[[#This Row],[order_value]]&gt;1500,"High","Moderate"))</f>
        <v>Moderate</v>
      </c>
      <c r="I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2" s="2" t="s">
        <v>39</v>
      </c>
      <c r="K32" s="2" t="s">
        <v>12</v>
      </c>
    </row>
    <row r="33" spans="1:11" x14ac:dyDescent="0.2">
      <c r="A33" s="2" t="s">
        <v>83</v>
      </c>
      <c r="B33" s="2" t="s">
        <v>84</v>
      </c>
      <c r="C33" s="2" t="s">
        <v>31</v>
      </c>
      <c r="D33" s="3">
        <v>46166.124027777776</v>
      </c>
      <c r="E33" s="3">
        <v>46166.135138888887</v>
      </c>
      <c r="F33" s="9">
        <f>IF($K33="cancelled"," ",(quick_commerce_orders[[#This Row],[delivery_time]]-quick_commerce_orders[[#This Row],[order_time]])*1440)</f>
        <v>15.999999999767169</v>
      </c>
      <c r="G33" s="2">
        <v>855.37</v>
      </c>
      <c r="H33" s="2" t="str">
        <f>IF(quick_commerce_orders[[#This Row],[order_value]]&lt;500,"Low",IF(quick_commerce_orders[[#This Row],[order_value]]&gt;1500,"High","Moderate"))</f>
        <v>Moderate</v>
      </c>
      <c r="I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3" s="2" t="s">
        <v>20</v>
      </c>
      <c r="K33" s="2" t="s">
        <v>16</v>
      </c>
    </row>
    <row r="34" spans="1:11" x14ac:dyDescent="0.2">
      <c r="A34" s="2" t="s">
        <v>85</v>
      </c>
      <c r="B34" s="2" t="s">
        <v>86</v>
      </c>
      <c r="C34" s="2" t="s">
        <v>19</v>
      </c>
      <c r="D34" s="3">
        <v>46150.078877314816</v>
      </c>
      <c r="E34" s="3">
        <v>46150.084432870368</v>
      </c>
      <c r="F34" s="9">
        <f>IF($K34="cancelled"," ",(quick_commerce_orders[[#This Row],[delivery_time]]-quick_commerce_orders[[#This Row],[order_time]])*1440)</f>
        <v>7.9999999946448952</v>
      </c>
      <c r="G34" s="2">
        <v>2478.5100000000002</v>
      </c>
      <c r="H34" s="2" t="str">
        <f>IF(quick_commerce_orders[[#This Row],[order_value]]&lt;500,"Low",IF(quick_commerce_orders[[#This Row],[order_value]]&gt;1500,"High","Moderate"))</f>
        <v>High</v>
      </c>
      <c r="I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4" s="2" t="s">
        <v>15</v>
      </c>
      <c r="K34" s="2" t="s">
        <v>16</v>
      </c>
    </row>
    <row r="35" spans="1:11" x14ac:dyDescent="0.2">
      <c r="A35" s="2" t="s">
        <v>87</v>
      </c>
      <c r="B35" s="2" t="s">
        <v>88</v>
      </c>
      <c r="C35" s="2" t="s">
        <v>31</v>
      </c>
      <c r="D35" s="3">
        <v>46155.773715277777</v>
      </c>
      <c r="E35" s="3">
        <v>46155.786215277774</v>
      </c>
      <c r="F35" s="9">
        <f>IF($K35="cancelled"," ",(quick_commerce_orders[[#This Row],[delivery_time]]-quick_commerce_orders[[#This Row],[order_time]])*1440)</f>
        <v>17.999999995809048</v>
      </c>
      <c r="G35" s="2">
        <v>878.17</v>
      </c>
      <c r="H35" s="2" t="str">
        <f>IF(quick_commerce_orders[[#This Row],[order_value]]&lt;500,"Low",IF(quick_commerce_orders[[#This Row],[order_value]]&gt;1500,"High","Moderate"))</f>
        <v>Moderate</v>
      </c>
      <c r="I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 s="2" t="s">
        <v>28</v>
      </c>
      <c r="K35" s="2" t="s">
        <v>16</v>
      </c>
    </row>
    <row r="36" spans="1:11" x14ac:dyDescent="0.2">
      <c r="A36" s="2" t="s">
        <v>89</v>
      </c>
      <c r="B36" s="2" t="s">
        <v>90</v>
      </c>
      <c r="C36" s="2" t="s">
        <v>34</v>
      </c>
      <c r="D36" s="3">
        <v>46153.454548611109</v>
      </c>
      <c r="E36" s="3">
        <v>46153.464965277781</v>
      </c>
      <c r="F36" s="9">
        <f>IF($K36="cancelled"," ",(quick_commerce_orders[[#This Row],[delivery_time]]-quick_commerce_orders[[#This Row],[order_time]])*1440)</f>
        <v>15.000000006984919</v>
      </c>
      <c r="G36" s="2">
        <v>991.13</v>
      </c>
      <c r="H36" s="2" t="str">
        <f>IF(quick_commerce_orders[[#This Row],[order_value]]&lt;500,"Low",IF(quick_commerce_orders[[#This Row],[order_value]]&gt;1500,"High","Moderate"))</f>
        <v>Moderate</v>
      </c>
      <c r="I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6" s="2" t="s">
        <v>15</v>
      </c>
      <c r="K36" s="2" t="s">
        <v>16</v>
      </c>
    </row>
    <row r="37" spans="1:11" x14ac:dyDescent="0.2">
      <c r="A37" s="2" t="s">
        <v>91</v>
      </c>
      <c r="B37" s="2" t="s">
        <v>92</v>
      </c>
      <c r="C37" s="2" t="s">
        <v>27</v>
      </c>
      <c r="D37" s="3">
        <v>46171.155011574076</v>
      </c>
      <c r="E37" s="3">
        <v>46171.167511574073</v>
      </c>
      <c r="F37" s="9">
        <f>IF($K37="cancelled"," ",(quick_commerce_orders[[#This Row],[delivery_time]]-quick_commerce_orders[[#This Row],[order_time]])*1440)</f>
        <v>17.999999995809048</v>
      </c>
      <c r="G37" s="2">
        <v>1933.04</v>
      </c>
      <c r="H37" s="2" t="str">
        <f>IF(quick_commerce_orders[[#This Row],[order_value]]&lt;500,"Low",IF(quick_commerce_orders[[#This Row],[order_value]]&gt;1500,"High","Moderate"))</f>
        <v>High</v>
      </c>
      <c r="I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7" s="2" t="s">
        <v>39</v>
      </c>
      <c r="K37" s="2" t="s">
        <v>16</v>
      </c>
    </row>
    <row r="38" spans="1:11" x14ac:dyDescent="0.2">
      <c r="A38" s="2" t="s">
        <v>93</v>
      </c>
      <c r="B38" s="2" t="s">
        <v>94</v>
      </c>
      <c r="C38" s="2" t="s">
        <v>53</v>
      </c>
      <c r="D38" s="3">
        <v>46174.123287037037</v>
      </c>
      <c r="E38" s="3">
        <v>46174.129537037035</v>
      </c>
      <c r="F38" s="9">
        <f>IF($K38="cancelled"," ",(quick_commerce_orders[[#This Row],[delivery_time]]-quick_commerce_orders[[#This Row],[order_time]])*1440)</f>
        <v>8.9999999979045242</v>
      </c>
      <c r="G38" s="2">
        <v>1132.4100000000001</v>
      </c>
      <c r="H38" s="2" t="str">
        <f>IF(quick_commerce_orders[[#This Row],[order_value]]&lt;500,"Low",IF(quick_commerce_orders[[#This Row],[order_value]]&gt;1500,"High","Moderate"))</f>
        <v>Moderate</v>
      </c>
      <c r="I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8" s="2" t="s">
        <v>39</v>
      </c>
      <c r="K38" s="2" t="s">
        <v>16</v>
      </c>
    </row>
    <row r="39" spans="1:11" x14ac:dyDescent="0.2">
      <c r="A39" s="2" t="s">
        <v>95</v>
      </c>
      <c r="B39" s="2" t="s">
        <v>96</v>
      </c>
      <c r="C39" s="2" t="s">
        <v>10</v>
      </c>
      <c r="D39" s="3">
        <v>46171.061898148146</v>
      </c>
      <c r="E39" s="3">
        <v>46171.070925925924</v>
      </c>
      <c r="F39" s="9">
        <f>IF($K39="cancelled"," ",(quick_commerce_orders[[#This Row],[delivery_time]]-quick_commerce_orders[[#This Row],[order_time]])*1440)</f>
        <v>13.000000000465661</v>
      </c>
      <c r="G39" s="2">
        <v>1841.08</v>
      </c>
      <c r="H39" s="2" t="str">
        <f>IF(quick_commerce_orders[[#This Row],[order_value]]&lt;500,"Low",IF(quick_commerce_orders[[#This Row],[order_value]]&gt;1500,"High","Moderate"))</f>
        <v>High</v>
      </c>
      <c r="I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9" s="2" t="s">
        <v>39</v>
      </c>
      <c r="K39" s="2" t="s">
        <v>16</v>
      </c>
    </row>
    <row r="40" spans="1:11" x14ac:dyDescent="0.2">
      <c r="A40" s="2" t="s">
        <v>97</v>
      </c>
      <c r="B40" s="2" t="s">
        <v>98</v>
      </c>
      <c r="C40" s="2" t="s">
        <v>75</v>
      </c>
      <c r="D40" s="3">
        <v>46169.608368055553</v>
      </c>
      <c r="E40" s="3">
        <v>46169.618090277778</v>
      </c>
      <c r="F40" s="9">
        <f>IF($K40="cancelled"," ",(quick_commerce_orders[[#This Row],[delivery_time]]-quick_commerce_orders[[#This Row],[order_time]])*1440)</f>
        <v>14.00000000372529</v>
      </c>
      <c r="G40" s="2">
        <v>1559.19</v>
      </c>
      <c r="H40" s="2" t="str">
        <f>IF(quick_commerce_orders[[#This Row],[order_value]]&lt;500,"Low",IF(quick_commerce_orders[[#This Row],[order_value]]&gt;1500,"High","Moderate"))</f>
        <v>High</v>
      </c>
      <c r="I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 s="2" t="s">
        <v>20</v>
      </c>
      <c r="K40" s="2" t="s">
        <v>16</v>
      </c>
    </row>
    <row r="41" spans="1:11" x14ac:dyDescent="0.2">
      <c r="A41" s="2" t="s">
        <v>99</v>
      </c>
      <c r="B41" s="2" t="s">
        <v>100</v>
      </c>
      <c r="C41" s="2" t="s">
        <v>10</v>
      </c>
      <c r="D41" s="3">
        <v>46172.910636574074</v>
      </c>
      <c r="E41" s="3">
        <v>46172.922442129631</v>
      </c>
      <c r="F41" s="9">
        <f>IF($K41="cancelled"," ",(quick_commerce_orders[[#This Row],[delivery_time]]-quick_commerce_orders[[#This Row],[order_time]])*1440)</f>
        <v>17.000000003026798</v>
      </c>
      <c r="G41" s="2">
        <v>1450.55</v>
      </c>
      <c r="H41" s="2" t="str">
        <f>IF(quick_commerce_orders[[#This Row],[order_value]]&lt;500,"Low",IF(quick_commerce_orders[[#This Row],[order_value]]&gt;1500,"High","Moderate"))</f>
        <v>Moderate</v>
      </c>
      <c r="I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1" s="2" t="s">
        <v>15</v>
      </c>
      <c r="K41" s="2" t="s">
        <v>16</v>
      </c>
    </row>
    <row r="42" spans="1:11" x14ac:dyDescent="0.2">
      <c r="A42" s="2" t="s">
        <v>101</v>
      </c>
      <c r="B42" s="2" t="s">
        <v>102</v>
      </c>
      <c r="C42" s="2" t="s">
        <v>53</v>
      </c>
      <c r="D42" s="3">
        <v>46144.511712962965</v>
      </c>
      <c r="E42" s="3">
        <v>46144.544351851851</v>
      </c>
      <c r="F42" s="9">
        <f>IF($K42="cancelled"," ",(quick_commerce_orders[[#This Row],[delivery_time]]-quick_commerce_orders[[#This Row],[order_time]])*1440)</f>
        <v>46.999999996041879</v>
      </c>
      <c r="G42" s="2">
        <v>612.42999999999995</v>
      </c>
      <c r="H42" s="2" t="str">
        <f>IF(quick_commerce_orders[[#This Row],[order_value]]&lt;500,"Low",IF(quick_commerce_orders[[#This Row],[order_value]]&gt;1500,"High","Moderate"))</f>
        <v>Moderate</v>
      </c>
      <c r="I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 s="2" t="s">
        <v>15</v>
      </c>
      <c r="K42" s="2" t="s">
        <v>12</v>
      </c>
    </row>
    <row r="43" spans="1:11" x14ac:dyDescent="0.2">
      <c r="A43" s="2" t="s">
        <v>103</v>
      </c>
      <c r="B43" s="2" t="s">
        <v>104</v>
      </c>
      <c r="C43" s="2" t="s">
        <v>19</v>
      </c>
      <c r="D43" s="3">
        <v>46143.967789351853</v>
      </c>
      <c r="E43" s="3">
        <v>46143.977511574078</v>
      </c>
      <c r="F43" s="9">
        <f>IF($K43="cancelled"," ",(quick_commerce_orders[[#This Row],[delivery_time]]-quick_commerce_orders[[#This Row],[order_time]])*1440)</f>
        <v>14.00000000372529</v>
      </c>
      <c r="G43" s="2">
        <v>1936.7</v>
      </c>
      <c r="H43" s="2" t="str">
        <f>IF(quick_commerce_orders[[#This Row],[order_value]]&lt;500,"Low",IF(quick_commerce_orders[[#This Row],[order_value]]&gt;1500,"High","Moderate"))</f>
        <v>High</v>
      </c>
      <c r="I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 s="2" t="s">
        <v>28</v>
      </c>
      <c r="K43" s="2" t="s">
        <v>16</v>
      </c>
    </row>
    <row r="44" spans="1:11" x14ac:dyDescent="0.2">
      <c r="A44" s="2" t="s">
        <v>105</v>
      </c>
      <c r="B44" s="2" t="s">
        <v>106</v>
      </c>
      <c r="C44" s="2" t="s">
        <v>53</v>
      </c>
      <c r="D44" s="3">
        <v>46147.060671296298</v>
      </c>
      <c r="E44" s="3">
        <v>46147.067615740743</v>
      </c>
      <c r="F44" s="9">
        <f>IF($K44="cancelled"," ",(quick_commerce_orders[[#This Row],[delivery_time]]-quick_commerce_orders[[#This Row],[order_time]])*1440)</f>
        <v>10.000000001164153</v>
      </c>
      <c r="G44" s="2">
        <v>2321.75</v>
      </c>
      <c r="H44" s="2" t="str">
        <f>IF(quick_commerce_orders[[#This Row],[order_value]]&lt;500,"Low",IF(quick_commerce_orders[[#This Row],[order_value]]&gt;1500,"High","Moderate"))</f>
        <v>High</v>
      </c>
      <c r="I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4" s="2" t="s">
        <v>39</v>
      </c>
      <c r="K44" s="2" t="s">
        <v>16</v>
      </c>
    </row>
    <row r="45" spans="1:11" x14ac:dyDescent="0.2">
      <c r="A45" s="2" t="s">
        <v>107</v>
      </c>
      <c r="B45" s="2" t="s">
        <v>108</v>
      </c>
      <c r="C45" s="2" t="s">
        <v>53</v>
      </c>
      <c r="D45" s="3">
        <v>46147.711099537039</v>
      </c>
      <c r="E45" s="3">
        <v>46147.724988425929</v>
      </c>
      <c r="F45" s="9">
        <f>IF($K45="cancelled"," ",(quick_commerce_orders[[#This Row],[delivery_time]]-quick_commerce_orders[[#This Row],[order_time]])*1440)</f>
        <v>20.000000002328306</v>
      </c>
      <c r="G45" s="2">
        <v>708.81</v>
      </c>
      <c r="H45" s="2" t="str">
        <f>IF(quick_commerce_orders[[#This Row],[order_value]]&lt;500,"Low",IF(quick_commerce_orders[[#This Row],[order_value]]&gt;1500,"High","Moderate"))</f>
        <v>Moderate</v>
      </c>
      <c r="I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5" s="2" t="s">
        <v>28</v>
      </c>
      <c r="K45" s="2" t="s">
        <v>16</v>
      </c>
    </row>
    <row r="46" spans="1:11" x14ac:dyDescent="0.2">
      <c r="A46" s="2" t="s">
        <v>109</v>
      </c>
      <c r="B46" s="2" t="s">
        <v>110</v>
      </c>
      <c r="C46" s="2" t="s">
        <v>34</v>
      </c>
      <c r="D46" s="3">
        <v>46147.626597222225</v>
      </c>
      <c r="E46" s="3">
        <v>46147.640486111108</v>
      </c>
      <c r="F46" s="9">
        <f>IF($K46="cancelled"," ",(quick_commerce_orders[[#This Row],[delivery_time]]-quick_commerce_orders[[#This Row],[order_time]])*1440)</f>
        <v>19.999999991850927</v>
      </c>
      <c r="G46" s="2">
        <v>2406.96</v>
      </c>
      <c r="H46" s="2" t="str">
        <f>IF(quick_commerce_orders[[#This Row],[order_value]]&lt;500,"Low",IF(quick_commerce_orders[[#This Row],[order_value]]&gt;1500,"High","Moderate"))</f>
        <v>High</v>
      </c>
      <c r="I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6" s="2" t="s">
        <v>20</v>
      </c>
      <c r="K46" s="2" t="s">
        <v>16</v>
      </c>
    </row>
    <row r="47" spans="1:11" x14ac:dyDescent="0.2">
      <c r="A47" s="2" t="s">
        <v>111</v>
      </c>
      <c r="B47" s="2" t="s">
        <v>112</v>
      </c>
      <c r="C47" s="2" t="s">
        <v>42</v>
      </c>
      <c r="D47" s="3">
        <v>46169.2424537037</v>
      </c>
      <c r="E47" s="3">
        <v>46169.255648148152</v>
      </c>
      <c r="F47" s="9">
        <f>IF($K47="cancelled"," ",(quick_commerce_orders[[#This Row],[delivery_time]]-quick_commerce_orders[[#This Row],[order_time]])*1440)</f>
        <v>19.000000009546056</v>
      </c>
      <c r="G47" s="2">
        <v>1173</v>
      </c>
      <c r="H47" s="2" t="str">
        <f>IF(quick_commerce_orders[[#This Row],[order_value]]&lt;500,"Low",IF(quick_commerce_orders[[#This Row],[order_value]]&gt;1500,"High","Moderate"))</f>
        <v>Moderate</v>
      </c>
      <c r="I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7" s="2" t="s">
        <v>80</v>
      </c>
      <c r="K47" s="2" t="s">
        <v>16</v>
      </c>
    </row>
    <row r="48" spans="1:11" x14ac:dyDescent="0.2">
      <c r="A48" s="2" t="s">
        <v>113</v>
      </c>
      <c r="B48" s="2" t="s">
        <v>114</v>
      </c>
      <c r="C48" s="2" t="s">
        <v>75</v>
      </c>
      <c r="D48" s="3">
        <v>46169.498194444444</v>
      </c>
      <c r="E48" s="3">
        <v>46169.503750000003</v>
      </c>
      <c r="F48" s="9">
        <f>IF($K48="cancelled"," ",(quick_commerce_orders[[#This Row],[delivery_time]]-quick_commerce_orders[[#This Row],[order_time]])*1440)</f>
        <v>8.0000000051222742</v>
      </c>
      <c r="G48" s="2">
        <v>1052.02</v>
      </c>
      <c r="H48" s="2" t="str">
        <f>IF(quick_commerce_orders[[#This Row],[order_value]]&lt;500,"Low",IF(quick_commerce_orders[[#This Row],[order_value]]&gt;1500,"High","Moderate"))</f>
        <v>Moderate</v>
      </c>
      <c r="I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8" s="2" t="s">
        <v>11</v>
      </c>
      <c r="K48" s="2" t="s">
        <v>16</v>
      </c>
    </row>
    <row r="49" spans="1:11" x14ac:dyDescent="0.2">
      <c r="A49" s="2" t="s">
        <v>115</v>
      </c>
      <c r="B49" s="2" t="s">
        <v>116</v>
      </c>
      <c r="C49" s="2" t="s">
        <v>27</v>
      </c>
      <c r="D49" s="3">
        <v>46171.516724537039</v>
      </c>
      <c r="E49" s="3">
        <v>46171.538946759261</v>
      </c>
      <c r="F49" s="9">
        <f>IF($K49="cancelled"," ",(quick_commerce_orders[[#This Row],[delivery_time]]-quick_commerce_orders[[#This Row],[order_time]])*1440)</f>
        <v>31.999999999534339</v>
      </c>
      <c r="G49" s="2">
        <v>1842.15</v>
      </c>
      <c r="H49" s="2" t="str">
        <f>IF(quick_commerce_orders[[#This Row],[order_value]]&lt;500,"Low",IF(quick_commerce_orders[[#This Row],[order_value]]&gt;1500,"High","Moderate"))</f>
        <v>High</v>
      </c>
      <c r="I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9" s="2" t="s">
        <v>11</v>
      </c>
      <c r="K49" s="2" t="s">
        <v>12</v>
      </c>
    </row>
    <row r="50" spans="1:11" x14ac:dyDescent="0.2">
      <c r="A50" s="2" t="s">
        <v>117</v>
      </c>
      <c r="B50" s="2" t="s">
        <v>118</v>
      </c>
      <c r="C50" s="2" t="s">
        <v>27</v>
      </c>
      <c r="D50" s="3">
        <v>46151.871782407405</v>
      </c>
      <c r="E50" s="3">
        <v>46151.882199074076</v>
      </c>
      <c r="F50" s="9">
        <f>IF($K50="cancelled"," ",(quick_commerce_orders[[#This Row],[delivery_time]]-quick_commerce_orders[[#This Row],[order_time]])*1440)</f>
        <v>15.000000006984919</v>
      </c>
      <c r="G50" s="2">
        <v>2458.1</v>
      </c>
      <c r="H50" s="2" t="str">
        <f>IF(quick_commerce_orders[[#This Row],[order_value]]&lt;500,"Low",IF(quick_commerce_orders[[#This Row],[order_value]]&gt;1500,"High","Moderate"))</f>
        <v>High</v>
      </c>
      <c r="I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0" s="2" t="s">
        <v>20</v>
      </c>
      <c r="K50" s="2" t="s">
        <v>16</v>
      </c>
    </row>
    <row r="51" spans="1:11" x14ac:dyDescent="0.2">
      <c r="A51" s="2" t="s">
        <v>119</v>
      </c>
      <c r="B51" s="2" t="s">
        <v>120</v>
      </c>
      <c r="C51" s="2" t="s">
        <v>31</v>
      </c>
      <c r="D51" s="3">
        <v>46150.232233796298</v>
      </c>
      <c r="E51" s="3">
        <v>46150.265567129631</v>
      </c>
      <c r="F51" s="9">
        <f>IF($K51="cancelled"," ",(quick_commerce_orders[[#This Row],[delivery_time]]-quick_commerce_orders[[#This Row],[order_time]])*1440)</f>
        <v>47.999999999301508</v>
      </c>
      <c r="G51" s="2">
        <v>1528.83</v>
      </c>
      <c r="H51" s="2" t="str">
        <f>IF(quick_commerce_orders[[#This Row],[order_value]]&lt;500,"Low",IF(quick_commerce_orders[[#This Row],[order_value]]&gt;1500,"High","Moderate"))</f>
        <v>High</v>
      </c>
      <c r="I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1" s="2" t="s">
        <v>80</v>
      </c>
      <c r="K51" s="2" t="s">
        <v>12</v>
      </c>
    </row>
    <row r="52" spans="1:11" x14ac:dyDescent="0.2">
      <c r="A52" s="2" t="s">
        <v>121</v>
      </c>
      <c r="B52" s="2" t="s">
        <v>122</v>
      </c>
      <c r="C52" s="2" t="s">
        <v>27</v>
      </c>
      <c r="D52" s="3">
        <v>46151.968668981484</v>
      </c>
      <c r="E52" s="3">
        <v>46151.976307870369</v>
      </c>
      <c r="F52" s="9">
        <f>IF($K52="cancelled"," ",(quick_commerce_orders[[#This Row],[delivery_time]]-quick_commerce_orders[[#This Row],[order_time]])*1440)</f>
        <v>10.999999993946403</v>
      </c>
      <c r="G52" s="2">
        <v>1341.26</v>
      </c>
      <c r="H52" s="2" t="str">
        <f>IF(quick_commerce_orders[[#This Row],[order_value]]&lt;500,"Low",IF(quick_commerce_orders[[#This Row],[order_value]]&gt;1500,"High","Moderate"))</f>
        <v>Moderate</v>
      </c>
      <c r="I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 s="2" t="s">
        <v>39</v>
      </c>
      <c r="K52" s="2" t="s">
        <v>16</v>
      </c>
    </row>
    <row r="53" spans="1:11" x14ac:dyDescent="0.2">
      <c r="A53" s="2" t="s">
        <v>123</v>
      </c>
      <c r="B53" s="2" t="s">
        <v>124</v>
      </c>
      <c r="C53" s="2" t="s">
        <v>75</v>
      </c>
      <c r="D53" s="3">
        <v>46143.01353009259</v>
      </c>
      <c r="E53" s="3">
        <v>46143.023946759262</v>
      </c>
      <c r="F53" s="9">
        <f>IF($K53="cancelled"," ",(quick_commerce_orders[[#This Row],[delivery_time]]-quick_commerce_orders[[#This Row],[order_time]])*1440)</f>
        <v>15.000000006984919</v>
      </c>
      <c r="G53" s="2">
        <v>2483.19</v>
      </c>
      <c r="H53" s="2" t="str">
        <f>IF(quick_commerce_orders[[#This Row],[order_value]]&lt;500,"Low",IF(quick_commerce_orders[[#This Row],[order_value]]&gt;1500,"High","Moderate"))</f>
        <v>High</v>
      </c>
      <c r="I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 s="2" t="s">
        <v>11</v>
      </c>
      <c r="K53" s="2" t="s">
        <v>16</v>
      </c>
    </row>
    <row r="54" spans="1:11" x14ac:dyDescent="0.2">
      <c r="A54" s="2" t="s">
        <v>125</v>
      </c>
      <c r="B54" s="2" t="s">
        <v>126</v>
      </c>
      <c r="C54" s="2" t="s">
        <v>31</v>
      </c>
      <c r="D54" s="3">
        <v>46170.725601851853</v>
      </c>
      <c r="E54" s="3">
        <v>46170.731157407405</v>
      </c>
      <c r="F54" s="9">
        <f>IF($K54="cancelled"," ",(quick_commerce_orders[[#This Row],[delivery_time]]-quick_commerce_orders[[#This Row],[order_time]])*1440)</f>
        <v>7.9999999946448952</v>
      </c>
      <c r="G54" s="2">
        <v>823.42</v>
      </c>
      <c r="H54" s="2" t="str">
        <f>IF(quick_commerce_orders[[#This Row],[order_value]]&lt;500,"Low",IF(quick_commerce_orders[[#This Row],[order_value]]&gt;1500,"High","Moderate"))</f>
        <v>Moderate</v>
      </c>
      <c r="I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 s="2" t="s">
        <v>15</v>
      </c>
      <c r="K54" s="2" t="s">
        <v>16</v>
      </c>
    </row>
    <row r="55" spans="1:11" x14ac:dyDescent="0.2">
      <c r="A55" s="2" t="s">
        <v>127</v>
      </c>
      <c r="B55" s="2" t="s">
        <v>128</v>
      </c>
      <c r="C55" s="2" t="s">
        <v>31</v>
      </c>
      <c r="D55" s="3">
        <v>46157.312060185184</v>
      </c>
      <c r="E55" s="3"/>
      <c r="F55" s="9" t="str">
        <f>IF($K55="cancelled"," ",(quick_commerce_orders[[#This Row],[delivery_time]]-quick_commerce_orders[[#This Row],[order_time]])*1440)</f>
        <v xml:space="preserve"> </v>
      </c>
      <c r="G55" s="2">
        <v>819.8</v>
      </c>
      <c r="H55" s="2" t="str">
        <f>IF(quick_commerce_orders[[#This Row],[order_value]]&lt;500,"Low",IF(quick_commerce_orders[[#This Row],[order_value]]&gt;1500,"High","Moderate"))</f>
        <v>Moderate</v>
      </c>
      <c r="I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5" s="2" t="s">
        <v>15</v>
      </c>
      <c r="K55" s="2" t="s">
        <v>58</v>
      </c>
    </row>
    <row r="56" spans="1:11" x14ac:dyDescent="0.2">
      <c r="A56" s="2" t="s">
        <v>129</v>
      </c>
      <c r="B56" s="2" t="s">
        <v>130</v>
      </c>
      <c r="C56" s="2" t="s">
        <v>19</v>
      </c>
      <c r="D56" s="3">
        <v>46152.342349537037</v>
      </c>
      <c r="E56" s="3">
        <v>46152.349988425929</v>
      </c>
      <c r="F56" s="9">
        <f>IF($K56="cancelled"," ",(quick_commerce_orders[[#This Row],[delivery_time]]-quick_commerce_orders[[#This Row],[order_time]])*1440)</f>
        <v>11.000000004423782</v>
      </c>
      <c r="G56" s="2">
        <v>631.53</v>
      </c>
      <c r="H56" s="2" t="str">
        <f>IF(quick_commerce_orders[[#This Row],[order_value]]&lt;500,"Low",IF(quick_commerce_orders[[#This Row],[order_value]]&gt;1500,"High","Moderate"))</f>
        <v>Moderate</v>
      </c>
      <c r="I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6" s="2" t="s">
        <v>28</v>
      </c>
      <c r="K56" s="2" t="s">
        <v>16</v>
      </c>
    </row>
    <row r="57" spans="1:11" x14ac:dyDescent="0.2">
      <c r="A57" s="2" t="s">
        <v>131</v>
      </c>
      <c r="B57" s="2" t="s">
        <v>132</v>
      </c>
      <c r="C57" s="2" t="s">
        <v>42</v>
      </c>
      <c r="D57" s="3">
        <v>46150.077569444446</v>
      </c>
      <c r="E57" s="3">
        <v>46150.090763888889</v>
      </c>
      <c r="F57" s="9">
        <f>IF($K57="cancelled"," ",(quick_commerce_orders[[#This Row],[delivery_time]]-quick_commerce_orders[[#This Row],[order_time]])*1440)</f>
        <v>18.999999999068677</v>
      </c>
      <c r="G57" s="2">
        <v>2152.73</v>
      </c>
      <c r="H57" s="2" t="str">
        <f>IF(quick_commerce_orders[[#This Row],[order_value]]&lt;500,"Low",IF(quick_commerce_orders[[#This Row],[order_value]]&gt;1500,"High","Moderate"))</f>
        <v>High</v>
      </c>
      <c r="I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7" s="2" t="s">
        <v>80</v>
      </c>
      <c r="K57" s="2" t="s">
        <v>16</v>
      </c>
    </row>
    <row r="58" spans="1:11" x14ac:dyDescent="0.2">
      <c r="A58" s="2" t="s">
        <v>133</v>
      </c>
      <c r="B58" s="2" t="s">
        <v>134</v>
      </c>
      <c r="C58" s="2" t="s">
        <v>10</v>
      </c>
      <c r="D58" s="3">
        <v>46169.826377314814</v>
      </c>
      <c r="E58" s="3">
        <v>46169.831932870373</v>
      </c>
      <c r="F58" s="9">
        <f>IF($K58="cancelled"," ",(quick_commerce_orders[[#This Row],[delivery_time]]-quick_commerce_orders[[#This Row],[order_time]])*1440)</f>
        <v>8.0000000051222742</v>
      </c>
      <c r="G58" s="2">
        <v>151.08000000000001</v>
      </c>
      <c r="H58" s="2" t="str">
        <f>IF(quick_commerce_orders[[#This Row],[order_value]]&lt;500,"Low",IF(quick_commerce_orders[[#This Row],[order_value]]&gt;1500,"High","Moderate"))</f>
        <v>Low</v>
      </c>
      <c r="I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8" s="2" t="s">
        <v>28</v>
      </c>
      <c r="K58" s="2" t="s">
        <v>16</v>
      </c>
    </row>
    <row r="59" spans="1:11" x14ac:dyDescent="0.2">
      <c r="A59" s="2" t="s">
        <v>135</v>
      </c>
      <c r="B59" s="2" t="s">
        <v>136</v>
      </c>
      <c r="C59" s="2" t="s">
        <v>19</v>
      </c>
      <c r="D59" s="3">
        <v>46144.300740740742</v>
      </c>
      <c r="E59" s="3">
        <v>46144.329907407409</v>
      </c>
      <c r="F59" s="9">
        <f>IF($K59="cancelled"," ",(quick_commerce_orders[[#This Row],[delivery_time]]-quick_commerce_orders[[#This Row],[order_time]])*1440)</f>
        <v>42.000000000698492</v>
      </c>
      <c r="G59" s="2">
        <v>2071.66</v>
      </c>
      <c r="H59" s="2" t="str">
        <f>IF(quick_commerce_orders[[#This Row],[order_value]]&lt;500,"Low",IF(quick_commerce_orders[[#This Row],[order_value]]&gt;1500,"High","Moderate"))</f>
        <v>High</v>
      </c>
      <c r="I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9" s="2" t="s">
        <v>39</v>
      </c>
      <c r="K59" s="2" t="s">
        <v>12</v>
      </c>
    </row>
    <row r="60" spans="1:11" x14ac:dyDescent="0.2">
      <c r="A60" s="2" t="s">
        <v>137</v>
      </c>
      <c r="B60" s="2" t="s">
        <v>138</v>
      </c>
      <c r="C60" s="2" t="s">
        <v>42</v>
      </c>
      <c r="D60" s="3">
        <v>46149.793379629627</v>
      </c>
      <c r="E60" s="3">
        <v>46149.805879629632</v>
      </c>
      <c r="F60" s="9">
        <f>IF($K60="cancelled"," ",(quick_commerce_orders[[#This Row],[delivery_time]]-quick_commerce_orders[[#This Row],[order_time]])*1440)</f>
        <v>18.000000006286427</v>
      </c>
      <c r="G60" s="2">
        <v>1754.33</v>
      </c>
      <c r="H60" s="2" t="str">
        <f>IF(quick_commerce_orders[[#This Row],[order_value]]&lt;500,"Low",IF(quick_commerce_orders[[#This Row],[order_value]]&gt;1500,"High","Moderate"))</f>
        <v>High</v>
      </c>
      <c r="I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 s="2" t="s">
        <v>15</v>
      </c>
      <c r="K60" s="2" t="s">
        <v>16</v>
      </c>
    </row>
    <row r="61" spans="1:11" x14ac:dyDescent="0.2">
      <c r="A61" s="2" t="s">
        <v>139</v>
      </c>
      <c r="B61" s="2" t="s">
        <v>140</v>
      </c>
      <c r="C61" s="2" t="s">
        <v>42</v>
      </c>
      <c r="D61" s="3">
        <v>46146.324328703704</v>
      </c>
      <c r="E61" s="3">
        <v>46146.337523148148</v>
      </c>
      <c r="F61" s="9">
        <f>IF($K61="cancelled"," ",(quick_commerce_orders[[#This Row],[delivery_time]]-quick_commerce_orders[[#This Row],[order_time]])*1440)</f>
        <v>18.999999999068677</v>
      </c>
      <c r="G61" s="2">
        <v>761.3</v>
      </c>
      <c r="H61" s="2" t="str">
        <f>IF(quick_commerce_orders[[#This Row],[order_value]]&lt;500,"Low",IF(quick_commerce_orders[[#This Row],[order_value]]&gt;1500,"High","Moderate"))</f>
        <v>Moderate</v>
      </c>
      <c r="I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1" s="2" t="s">
        <v>28</v>
      </c>
      <c r="K61" s="2" t="s">
        <v>16</v>
      </c>
    </row>
    <row r="62" spans="1:11" x14ac:dyDescent="0.2">
      <c r="A62" s="2" t="s">
        <v>141</v>
      </c>
      <c r="B62" s="2" t="s">
        <v>142</v>
      </c>
      <c r="C62" s="2" t="s">
        <v>42</v>
      </c>
      <c r="D62" s="3">
        <v>46168.593449074076</v>
      </c>
      <c r="E62" s="3">
        <v>46168.602476851855</v>
      </c>
      <c r="F62" s="9">
        <f>IF($K62="cancelled"," ",(quick_commerce_orders[[#This Row],[delivery_time]]-quick_commerce_orders[[#This Row],[order_time]])*1440)</f>
        <v>13.000000000465661</v>
      </c>
      <c r="G62" s="2">
        <v>1427.79</v>
      </c>
      <c r="H62" s="2" t="str">
        <f>IF(quick_commerce_orders[[#This Row],[order_value]]&lt;500,"Low",IF(quick_commerce_orders[[#This Row],[order_value]]&gt;1500,"High","Moderate"))</f>
        <v>Moderate</v>
      </c>
      <c r="I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2" s="2" t="s">
        <v>80</v>
      </c>
      <c r="K62" s="2" t="s">
        <v>16</v>
      </c>
    </row>
    <row r="63" spans="1:11" x14ac:dyDescent="0.2">
      <c r="A63" s="2" t="s">
        <v>143</v>
      </c>
      <c r="B63" s="2" t="s">
        <v>144</v>
      </c>
      <c r="C63" s="2" t="s">
        <v>53</v>
      </c>
      <c r="D63" s="3">
        <v>46156.047592592593</v>
      </c>
      <c r="E63" s="3">
        <v>46156.055231481485</v>
      </c>
      <c r="F63" s="9">
        <f>IF($K63="cancelled"," ",(quick_commerce_orders[[#This Row],[delivery_time]]-quick_commerce_orders[[#This Row],[order_time]])*1440)</f>
        <v>11.000000004423782</v>
      </c>
      <c r="G63" s="2">
        <v>1434.18</v>
      </c>
      <c r="H63" s="2" t="str">
        <f>IF(quick_commerce_orders[[#This Row],[order_value]]&lt;500,"Low",IF(quick_commerce_orders[[#This Row],[order_value]]&gt;1500,"High","Moderate"))</f>
        <v>Moderate</v>
      </c>
      <c r="I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3" s="2" t="s">
        <v>39</v>
      </c>
      <c r="K63" s="2" t="s">
        <v>16</v>
      </c>
    </row>
    <row r="64" spans="1:11" x14ac:dyDescent="0.2">
      <c r="A64" s="2" t="s">
        <v>145</v>
      </c>
      <c r="B64" s="2" t="s">
        <v>146</v>
      </c>
      <c r="C64" s="2" t="s">
        <v>19</v>
      </c>
      <c r="D64" s="3">
        <v>46161.328449074077</v>
      </c>
      <c r="E64" s="3">
        <v>46161.334699074076</v>
      </c>
      <c r="F64" s="9">
        <f>IF($K64="cancelled"," ",(quick_commerce_orders[[#This Row],[delivery_time]]-quick_commerce_orders[[#This Row],[order_time]])*1440)</f>
        <v>8.9999999979045242</v>
      </c>
      <c r="G64" s="2">
        <v>2321.21</v>
      </c>
      <c r="H64" s="2" t="str">
        <f>IF(quick_commerce_orders[[#This Row],[order_value]]&lt;500,"Low",IF(quick_commerce_orders[[#This Row],[order_value]]&gt;1500,"High","Moderate"))</f>
        <v>High</v>
      </c>
      <c r="I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4" s="2" t="s">
        <v>39</v>
      </c>
      <c r="K64" s="2" t="s">
        <v>16</v>
      </c>
    </row>
    <row r="65" spans="1:11" x14ac:dyDescent="0.2">
      <c r="A65" s="2" t="s">
        <v>147</v>
      </c>
      <c r="B65" s="2" t="s">
        <v>148</v>
      </c>
      <c r="C65" s="2" t="s">
        <v>10</v>
      </c>
      <c r="D65" s="3">
        <v>46163.776956018519</v>
      </c>
      <c r="E65" s="3">
        <v>46163.788761574076</v>
      </c>
      <c r="F65" s="9">
        <f>IF($K65="cancelled"," ",(quick_commerce_orders[[#This Row],[delivery_time]]-quick_commerce_orders[[#This Row],[order_time]])*1440)</f>
        <v>17.000000003026798</v>
      </c>
      <c r="G65" s="2">
        <v>470.32</v>
      </c>
      <c r="H65" s="2" t="str">
        <f>IF(quick_commerce_orders[[#This Row],[order_value]]&lt;500,"Low",IF(quick_commerce_orders[[#This Row],[order_value]]&gt;1500,"High","Moderate"))</f>
        <v>Low</v>
      </c>
      <c r="I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 s="2" t="s">
        <v>80</v>
      </c>
      <c r="K65" s="2" t="s">
        <v>16</v>
      </c>
    </row>
    <row r="66" spans="1:11" x14ac:dyDescent="0.2">
      <c r="A66" s="2" t="s">
        <v>149</v>
      </c>
      <c r="B66" s="2" t="s">
        <v>150</v>
      </c>
      <c r="C66" s="2" t="s">
        <v>34</v>
      </c>
      <c r="D66" s="3">
        <v>46163.305509259262</v>
      </c>
      <c r="E66" s="3">
        <v>46163.318009259259</v>
      </c>
      <c r="F66" s="9">
        <f>IF($K66="cancelled"," ",(quick_commerce_orders[[#This Row],[delivery_time]]-quick_commerce_orders[[#This Row],[order_time]])*1440)</f>
        <v>17.999999995809048</v>
      </c>
      <c r="G66" s="2">
        <v>189.57</v>
      </c>
      <c r="H66" s="2" t="str">
        <f>IF(quick_commerce_orders[[#This Row],[order_value]]&lt;500,"Low",IF(quick_commerce_orders[[#This Row],[order_value]]&gt;1500,"High","Moderate"))</f>
        <v>Low</v>
      </c>
      <c r="I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6" s="2" t="s">
        <v>28</v>
      </c>
      <c r="K66" s="2" t="s">
        <v>16</v>
      </c>
    </row>
    <row r="67" spans="1:11" x14ac:dyDescent="0.2">
      <c r="A67" s="2" t="s">
        <v>151</v>
      </c>
      <c r="B67" s="2" t="s">
        <v>152</v>
      </c>
      <c r="C67" s="2" t="s">
        <v>42</v>
      </c>
      <c r="D67" s="3">
        <v>46152.898078703707</v>
      </c>
      <c r="E67" s="3">
        <v>46152.906412037039</v>
      </c>
      <c r="F67" s="9">
        <f>IF($K67="cancelled"," ",(quick_commerce_orders[[#This Row],[delivery_time]]-quick_commerce_orders[[#This Row],[order_time]])*1440)</f>
        <v>11.999999997206032</v>
      </c>
      <c r="G67" s="2">
        <v>952.57</v>
      </c>
      <c r="H67" s="2" t="str">
        <f>IF(quick_commerce_orders[[#This Row],[order_value]]&lt;500,"Low",IF(quick_commerce_orders[[#This Row],[order_value]]&gt;1500,"High","Moderate"))</f>
        <v>Moderate</v>
      </c>
      <c r="I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 s="2" t="s">
        <v>20</v>
      </c>
      <c r="K67" s="2" t="s">
        <v>16</v>
      </c>
    </row>
    <row r="68" spans="1:11" x14ac:dyDescent="0.2">
      <c r="A68" s="2" t="s">
        <v>153</v>
      </c>
      <c r="B68" s="2" t="s">
        <v>154</v>
      </c>
      <c r="C68" s="2" t="s">
        <v>10</v>
      </c>
      <c r="D68" s="3">
        <v>46169.386840277781</v>
      </c>
      <c r="E68" s="3">
        <v>46169.400729166664</v>
      </c>
      <c r="F68" s="9">
        <f>IF($K68="cancelled"," ",(quick_commerce_orders[[#This Row],[delivery_time]]-quick_commerce_orders[[#This Row],[order_time]])*1440)</f>
        <v>19.999999991850927</v>
      </c>
      <c r="G68" s="2">
        <v>431.18</v>
      </c>
      <c r="H68" s="2" t="str">
        <f>IF(quick_commerce_orders[[#This Row],[order_value]]&lt;500,"Low",IF(quick_commerce_orders[[#This Row],[order_value]]&gt;1500,"High","Moderate"))</f>
        <v>Low</v>
      </c>
      <c r="I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8" s="2" t="s">
        <v>28</v>
      </c>
      <c r="K68" s="2" t="s">
        <v>16</v>
      </c>
    </row>
    <row r="69" spans="1:11" x14ac:dyDescent="0.2">
      <c r="A69" s="2" t="s">
        <v>155</v>
      </c>
      <c r="B69" s="2" t="s">
        <v>156</v>
      </c>
      <c r="C69" s="2" t="s">
        <v>34</v>
      </c>
      <c r="D69" s="3">
        <v>46154.863506944443</v>
      </c>
      <c r="E69" s="3">
        <v>46154.876701388886</v>
      </c>
      <c r="F69" s="9">
        <f>IF($K69="cancelled"," ",(quick_commerce_orders[[#This Row],[delivery_time]]-quick_commerce_orders[[#This Row],[order_time]])*1440)</f>
        <v>18.999999999068677</v>
      </c>
      <c r="G69" s="2">
        <v>980</v>
      </c>
      <c r="H69" s="2" t="str">
        <f>IF(quick_commerce_orders[[#This Row],[order_value]]&lt;500,"Low",IF(quick_commerce_orders[[#This Row],[order_value]]&gt;1500,"High","Moderate"))</f>
        <v>Moderate</v>
      </c>
      <c r="I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9" s="2" t="s">
        <v>11</v>
      </c>
      <c r="K69" s="2" t="s">
        <v>16</v>
      </c>
    </row>
    <row r="70" spans="1:11" x14ac:dyDescent="0.2">
      <c r="A70" s="2" t="s">
        <v>157</v>
      </c>
      <c r="B70" s="2" t="s">
        <v>158</v>
      </c>
      <c r="C70" s="2" t="s">
        <v>75</v>
      </c>
      <c r="D70" s="3">
        <v>46174.05741898148</v>
      </c>
      <c r="E70" s="3">
        <v>46174.084502314814</v>
      </c>
      <c r="F70" s="9">
        <f>IF($K70="cancelled"," ",(quick_commerce_orders[[#This Row],[delivery_time]]-quick_commerce_orders[[#This Row],[order_time]])*1440)</f>
        <v>39.000000001396984</v>
      </c>
      <c r="G70" s="2">
        <v>1496.17</v>
      </c>
      <c r="H70" s="2" t="str">
        <f>IF(quick_commerce_orders[[#This Row],[order_value]]&lt;500,"Low",IF(quick_commerce_orders[[#This Row],[order_value]]&gt;1500,"High","Moderate"))</f>
        <v>Moderate</v>
      </c>
      <c r="I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0" s="2" t="s">
        <v>80</v>
      </c>
      <c r="K70" s="2" t="s">
        <v>12</v>
      </c>
    </row>
    <row r="71" spans="1:11" x14ac:dyDescent="0.2">
      <c r="A71" s="2" t="s">
        <v>159</v>
      </c>
      <c r="B71" s="2" t="s">
        <v>160</v>
      </c>
      <c r="C71" s="2" t="s">
        <v>34</v>
      </c>
      <c r="D71" s="3">
        <v>46167.681064814817</v>
      </c>
      <c r="E71" s="3">
        <v>46167.688703703701</v>
      </c>
      <c r="F71" s="9">
        <f>IF($K71="cancelled"," ",(quick_commerce_orders[[#This Row],[delivery_time]]-quick_commerce_orders[[#This Row],[order_time]])*1440)</f>
        <v>10.999999993946403</v>
      </c>
      <c r="G71" s="2">
        <v>658.19</v>
      </c>
      <c r="H71" s="2" t="str">
        <f>IF(quick_commerce_orders[[#This Row],[order_value]]&lt;500,"Low",IF(quick_commerce_orders[[#This Row],[order_value]]&gt;1500,"High","Moderate"))</f>
        <v>Moderate</v>
      </c>
      <c r="I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 s="2" t="s">
        <v>15</v>
      </c>
      <c r="K71" s="2" t="s">
        <v>16</v>
      </c>
    </row>
    <row r="72" spans="1:11" x14ac:dyDescent="0.2">
      <c r="A72" s="2" t="s">
        <v>161</v>
      </c>
      <c r="B72" s="2" t="s">
        <v>162</v>
      </c>
      <c r="C72" s="2" t="s">
        <v>75</v>
      </c>
      <c r="D72" s="3">
        <v>46169.548136574071</v>
      </c>
      <c r="E72" s="3">
        <v>46169.587025462963</v>
      </c>
      <c r="F72" s="9">
        <f>IF($K72="cancelled"," ",(quick_commerce_orders[[#This Row],[delivery_time]]-quick_commerce_orders[[#This Row],[order_time]])*1440)</f>
        <v>56.000000004423782</v>
      </c>
      <c r="G72" s="2">
        <v>2045.58</v>
      </c>
      <c r="H72" s="2" t="str">
        <f>IF(quick_commerce_orders[[#This Row],[order_value]]&lt;500,"Low",IF(quick_commerce_orders[[#This Row],[order_value]]&gt;1500,"High","Moderate"))</f>
        <v>High</v>
      </c>
      <c r="I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2" s="2" t="s">
        <v>28</v>
      </c>
      <c r="K72" s="2" t="s">
        <v>12</v>
      </c>
    </row>
    <row r="73" spans="1:11" x14ac:dyDescent="0.2">
      <c r="A73" s="2" t="s">
        <v>163</v>
      </c>
      <c r="B73" s="2" t="s">
        <v>164</v>
      </c>
      <c r="C73" s="2" t="s">
        <v>27</v>
      </c>
      <c r="D73" s="3">
        <v>46167.242060185185</v>
      </c>
      <c r="E73" s="3">
        <v>46167.251087962963</v>
      </c>
      <c r="F73" s="9">
        <f>IF($K73="cancelled"," ",(quick_commerce_orders[[#This Row],[delivery_time]]-quick_commerce_orders[[#This Row],[order_time]])*1440)</f>
        <v>13.000000000465661</v>
      </c>
      <c r="G73" s="2">
        <v>319.57</v>
      </c>
      <c r="H73" s="2" t="str">
        <f>IF(quick_commerce_orders[[#This Row],[order_value]]&lt;500,"Low",IF(quick_commerce_orders[[#This Row],[order_value]]&gt;1500,"High","Moderate"))</f>
        <v>Low</v>
      </c>
      <c r="I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3" s="2" t="s">
        <v>20</v>
      </c>
      <c r="K73" s="2" t="s">
        <v>16</v>
      </c>
    </row>
    <row r="74" spans="1:11" x14ac:dyDescent="0.2">
      <c r="A74" s="2" t="s">
        <v>165</v>
      </c>
      <c r="B74" s="2" t="s">
        <v>166</v>
      </c>
      <c r="C74" s="2" t="s">
        <v>34</v>
      </c>
      <c r="D74" s="3">
        <v>46173.329328703701</v>
      </c>
      <c r="E74" s="3">
        <v>46173.33488425926</v>
      </c>
      <c r="F74" s="9">
        <f>IF($K74="cancelled"," ",(quick_commerce_orders[[#This Row],[delivery_time]]-quick_commerce_orders[[#This Row],[order_time]])*1440)</f>
        <v>8.0000000051222742</v>
      </c>
      <c r="G74" s="2">
        <v>1058.52</v>
      </c>
      <c r="H74" s="2" t="str">
        <f>IF(quick_commerce_orders[[#This Row],[order_value]]&lt;500,"Low",IF(quick_commerce_orders[[#This Row],[order_value]]&gt;1500,"High","Moderate"))</f>
        <v>Moderate</v>
      </c>
      <c r="I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4" s="2" t="s">
        <v>28</v>
      </c>
      <c r="K74" s="2" t="s">
        <v>16</v>
      </c>
    </row>
    <row r="75" spans="1:11" x14ac:dyDescent="0.2">
      <c r="A75" s="2" t="s">
        <v>167</v>
      </c>
      <c r="B75" s="2" t="s">
        <v>168</v>
      </c>
      <c r="C75" s="2" t="s">
        <v>75</v>
      </c>
      <c r="D75" s="3">
        <v>46162.923506944448</v>
      </c>
      <c r="E75" s="3">
        <v>46162.931840277779</v>
      </c>
      <c r="F75" s="9">
        <f>IF($K75="cancelled"," ",(quick_commerce_orders[[#This Row],[delivery_time]]-quick_commerce_orders[[#This Row],[order_time]])*1440)</f>
        <v>11.999999997206032</v>
      </c>
      <c r="G75" s="2">
        <v>2301.92</v>
      </c>
      <c r="H75" s="2" t="str">
        <f>IF(quick_commerce_orders[[#This Row],[order_value]]&lt;500,"Low",IF(quick_commerce_orders[[#This Row],[order_value]]&gt;1500,"High","Moderate"))</f>
        <v>High</v>
      </c>
      <c r="I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 s="2" t="s">
        <v>15</v>
      </c>
      <c r="K75" s="2" t="s">
        <v>16</v>
      </c>
    </row>
    <row r="76" spans="1:11" x14ac:dyDescent="0.2">
      <c r="A76" s="2" t="s">
        <v>169</v>
      </c>
      <c r="B76" s="2" t="s">
        <v>170</v>
      </c>
      <c r="C76" s="2" t="s">
        <v>42</v>
      </c>
      <c r="D76" s="3">
        <v>46172.06627314815</v>
      </c>
      <c r="E76" s="3"/>
      <c r="F76" s="9" t="str">
        <f>IF($K76="cancelled"," ",(quick_commerce_orders[[#This Row],[delivery_time]]-quick_commerce_orders[[#This Row],[order_time]])*1440)</f>
        <v xml:space="preserve"> </v>
      </c>
      <c r="G76" s="2">
        <v>1861.24</v>
      </c>
      <c r="H76" s="2" t="str">
        <f>IF(quick_commerce_orders[[#This Row],[order_value]]&lt;500,"Low",IF(quick_commerce_orders[[#This Row],[order_value]]&gt;1500,"High","Moderate"))</f>
        <v>High</v>
      </c>
      <c r="I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 s="2" t="s">
        <v>39</v>
      </c>
      <c r="K76" s="2" t="s">
        <v>58</v>
      </c>
    </row>
    <row r="77" spans="1:11" x14ac:dyDescent="0.2">
      <c r="A77" s="2" t="s">
        <v>171</v>
      </c>
      <c r="B77" s="2" t="s">
        <v>172</v>
      </c>
      <c r="C77" s="2" t="s">
        <v>53</v>
      </c>
      <c r="D77" s="3">
        <v>46169.731342592589</v>
      </c>
      <c r="E77" s="3">
        <v>46169.741759259261</v>
      </c>
      <c r="F77" s="9">
        <f>IF($K77="cancelled"," ",(quick_commerce_orders[[#This Row],[delivery_time]]-quick_commerce_orders[[#This Row],[order_time]])*1440)</f>
        <v>15.000000006984919</v>
      </c>
      <c r="G77" s="2">
        <v>1835.59</v>
      </c>
      <c r="H77" s="2" t="str">
        <f>IF(quick_commerce_orders[[#This Row],[order_value]]&lt;500,"Low",IF(quick_commerce_orders[[#This Row],[order_value]]&gt;1500,"High","Moderate"))</f>
        <v>High</v>
      </c>
      <c r="I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 s="2" t="s">
        <v>28</v>
      </c>
      <c r="K77" s="2" t="s">
        <v>16</v>
      </c>
    </row>
    <row r="78" spans="1:11" x14ac:dyDescent="0.2">
      <c r="A78" s="2" t="s">
        <v>173</v>
      </c>
      <c r="B78" s="2" t="s">
        <v>174</v>
      </c>
      <c r="C78" s="2" t="s">
        <v>34</v>
      </c>
      <c r="D78" s="3">
        <v>46167.302928240744</v>
      </c>
      <c r="E78" s="3">
        <v>46167.316122685188</v>
      </c>
      <c r="F78" s="9">
        <f>IF($K78="cancelled"," ",(quick_commerce_orders[[#This Row],[delivery_time]]-quick_commerce_orders[[#This Row],[order_time]])*1440)</f>
        <v>18.999999999068677</v>
      </c>
      <c r="G78" s="2">
        <v>2001.97</v>
      </c>
      <c r="H78" s="2" t="str">
        <f>IF(quick_commerce_orders[[#This Row],[order_value]]&lt;500,"Low",IF(quick_commerce_orders[[#This Row],[order_value]]&gt;1500,"High","Moderate"))</f>
        <v>High</v>
      </c>
      <c r="I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8" s="2" t="s">
        <v>39</v>
      </c>
      <c r="K78" s="2" t="s">
        <v>16</v>
      </c>
    </row>
    <row r="79" spans="1:11" x14ac:dyDescent="0.2">
      <c r="A79" s="2" t="s">
        <v>175</v>
      </c>
      <c r="B79" s="2" t="s">
        <v>176</v>
      </c>
      <c r="C79" s="2" t="s">
        <v>31</v>
      </c>
      <c r="D79" s="3">
        <v>46164.837488425925</v>
      </c>
      <c r="E79" s="3">
        <v>46164.850682870368</v>
      </c>
      <c r="F79" s="9">
        <f>IF($K79="cancelled"," ",(quick_commerce_orders[[#This Row],[delivery_time]]-quick_commerce_orders[[#This Row],[order_time]])*1440)</f>
        <v>18.999999999068677</v>
      </c>
      <c r="G79" s="2">
        <v>513.97</v>
      </c>
      <c r="H79" s="2" t="str">
        <f>IF(quick_commerce_orders[[#This Row],[order_value]]&lt;500,"Low",IF(quick_commerce_orders[[#This Row],[order_value]]&gt;1500,"High","Moderate"))</f>
        <v>Moderate</v>
      </c>
      <c r="I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9" s="2" t="s">
        <v>11</v>
      </c>
      <c r="K79" s="2" t="s">
        <v>16</v>
      </c>
    </row>
    <row r="80" spans="1:11" x14ac:dyDescent="0.2">
      <c r="A80" s="2" t="s">
        <v>177</v>
      </c>
      <c r="B80" s="2" t="s">
        <v>178</v>
      </c>
      <c r="C80" s="2" t="s">
        <v>75</v>
      </c>
      <c r="D80" s="3">
        <v>46171.462199074071</v>
      </c>
      <c r="E80" s="3">
        <v>46171.474004629628</v>
      </c>
      <c r="F80" s="9">
        <f>IF($K80="cancelled"," ",(quick_commerce_orders[[#This Row],[delivery_time]]-quick_commerce_orders[[#This Row],[order_time]])*1440)</f>
        <v>17.000000003026798</v>
      </c>
      <c r="G80" s="2">
        <v>2080.69</v>
      </c>
      <c r="H80" s="2" t="str">
        <f>IF(quick_commerce_orders[[#This Row],[order_value]]&lt;500,"Low",IF(quick_commerce_orders[[#This Row],[order_value]]&gt;1500,"High","Moderate"))</f>
        <v>High</v>
      </c>
      <c r="I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0" s="2" t="s">
        <v>15</v>
      </c>
      <c r="K80" s="2" t="s">
        <v>16</v>
      </c>
    </row>
    <row r="81" spans="1:11" x14ac:dyDescent="0.2">
      <c r="A81" s="2" t="s">
        <v>179</v>
      </c>
      <c r="B81" s="2" t="s">
        <v>180</v>
      </c>
      <c r="C81" s="2" t="s">
        <v>19</v>
      </c>
      <c r="D81" s="3">
        <v>46155.053749999999</v>
      </c>
      <c r="E81" s="3">
        <v>46155.080138888887</v>
      </c>
      <c r="F81" s="9">
        <f>IF($K81="cancelled"," ",(quick_commerce_orders[[#This Row],[delivery_time]]-quick_commerce_orders[[#This Row],[order_time]])*1440)</f>
        <v>37.999999998137355</v>
      </c>
      <c r="G81" s="2">
        <v>1754.03</v>
      </c>
      <c r="H81" s="2" t="str">
        <f>IF(quick_commerce_orders[[#This Row],[order_value]]&lt;500,"Low",IF(quick_commerce_orders[[#This Row],[order_value]]&gt;1500,"High","Moderate"))</f>
        <v>High</v>
      </c>
      <c r="I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1" s="2" t="s">
        <v>20</v>
      </c>
      <c r="K81" s="2" t="s">
        <v>12</v>
      </c>
    </row>
    <row r="82" spans="1:11" x14ac:dyDescent="0.2">
      <c r="A82" s="2" t="s">
        <v>181</v>
      </c>
      <c r="B82" s="2" t="s">
        <v>182</v>
      </c>
      <c r="C82" s="2" t="s">
        <v>75</v>
      </c>
      <c r="D82" s="3">
        <v>46145.092256944445</v>
      </c>
      <c r="E82" s="3">
        <v>46145.097812499997</v>
      </c>
      <c r="F82" s="9">
        <f>IF($K82="cancelled"," ",(quick_commerce_orders[[#This Row],[delivery_time]]-quick_commerce_orders[[#This Row],[order_time]])*1440)</f>
        <v>7.9999999946448952</v>
      </c>
      <c r="G82" s="2">
        <v>1481.96</v>
      </c>
      <c r="H82" s="2" t="str">
        <f>IF(quick_commerce_orders[[#This Row],[order_value]]&lt;500,"Low",IF(quick_commerce_orders[[#This Row],[order_value]]&gt;1500,"High","Moderate"))</f>
        <v>Moderate</v>
      </c>
      <c r="I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2" s="2" t="s">
        <v>28</v>
      </c>
      <c r="K82" s="2" t="s">
        <v>16</v>
      </c>
    </row>
    <row r="83" spans="1:11" x14ac:dyDescent="0.2">
      <c r="A83" s="2" t="s">
        <v>183</v>
      </c>
      <c r="B83" s="2" t="s">
        <v>184</v>
      </c>
      <c r="C83" s="2" t="s">
        <v>34</v>
      </c>
      <c r="D83" s="3">
        <v>46156.634664351855</v>
      </c>
      <c r="E83" s="3">
        <v>46156.64230324074</v>
      </c>
      <c r="F83" s="9">
        <f>IF($K83="cancelled"," ",(quick_commerce_orders[[#This Row],[delivery_time]]-quick_commerce_orders[[#This Row],[order_time]])*1440)</f>
        <v>10.999999993946403</v>
      </c>
      <c r="G83" s="2">
        <v>2277.37</v>
      </c>
      <c r="H83" s="2" t="str">
        <f>IF(quick_commerce_orders[[#This Row],[order_value]]&lt;500,"Low",IF(quick_commerce_orders[[#This Row],[order_value]]&gt;1500,"High","Moderate"))</f>
        <v>High</v>
      </c>
      <c r="I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 s="2" t="s">
        <v>39</v>
      </c>
      <c r="K83" s="2" t="s">
        <v>16</v>
      </c>
    </row>
    <row r="84" spans="1:11" x14ac:dyDescent="0.2">
      <c r="A84" s="2" t="s">
        <v>185</v>
      </c>
      <c r="B84" s="2" t="s">
        <v>186</v>
      </c>
      <c r="C84" s="2" t="s">
        <v>75</v>
      </c>
      <c r="D84" s="3">
        <v>46164.415277777778</v>
      </c>
      <c r="E84" s="3">
        <v>46164.427777777775</v>
      </c>
      <c r="F84" s="9">
        <f>IF($K84="cancelled"," ",(quick_commerce_orders[[#This Row],[delivery_time]]-quick_commerce_orders[[#This Row],[order_time]])*1440)</f>
        <v>17.999999995809048</v>
      </c>
      <c r="G84" s="2">
        <v>1527.55</v>
      </c>
      <c r="H84" s="2" t="str">
        <f>IF(quick_commerce_orders[[#This Row],[order_value]]&lt;500,"Low",IF(quick_commerce_orders[[#This Row],[order_value]]&gt;1500,"High","Moderate"))</f>
        <v>High</v>
      </c>
      <c r="I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4" s="2" t="s">
        <v>20</v>
      </c>
      <c r="K84" s="2" t="s">
        <v>16</v>
      </c>
    </row>
    <row r="85" spans="1:11" x14ac:dyDescent="0.2">
      <c r="A85" s="2" t="s">
        <v>187</v>
      </c>
      <c r="B85" s="2" t="s">
        <v>188</v>
      </c>
      <c r="C85" s="2" t="s">
        <v>10</v>
      </c>
      <c r="D85" s="3">
        <v>46156.282719907409</v>
      </c>
      <c r="E85" s="3">
        <v>46156.317442129628</v>
      </c>
      <c r="F85" s="9">
        <f>IF($K85="cancelled"," ",(quick_commerce_orders[[#This Row],[delivery_time]]-quick_commerce_orders[[#This Row],[order_time]])*1440)</f>
        <v>49.999999995343387</v>
      </c>
      <c r="G85" s="2">
        <v>819.94</v>
      </c>
      <c r="H85" s="2" t="str">
        <f>IF(quick_commerce_orders[[#This Row],[order_value]]&lt;500,"Low",IF(quick_commerce_orders[[#This Row],[order_value]]&gt;1500,"High","Moderate"))</f>
        <v>Moderate</v>
      </c>
      <c r="I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5" s="2" t="s">
        <v>39</v>
      </c>
      <c r="K85" s="2" t="s">
        <v>12</v>
      </c>
    </row>
    <row r="86" spans="1:11" x14ac:dyDescent="0.2">
      <c r="A86" s="2" t="s">
        <v>189</v>
      </c>
      <c r="B86" s="2" t="s">
        <v>190</v>
      </c>
      <c r="C86" s="2" t="s">
        <v>19</v>
      </c>
      <c r="D86" s="3">
        <v>46173.322662037041</v>
      </c>
      <c r="E86" s="3">
        <v>46173.328912037039</v>
      </c>
      <c r="F86" s="9">
        <f>IF($K86="cancelled"," ",(quick_commerce_orders[[#This Row],[delivery_time]]-quick_commerce_orders[[#This Row],[order_time]])*1440)</f>
        <v>8.9999999979045242</v>
      </c>
      <c r="G86" s="2">
        <v>1852.89</v>
      </c>
      <c r="H86" s="2" t="str">
        <f>IF(quick_commerce_orders[[#This Row],[order_value]]&lt;500,"Low",IF(quick_commerce_orders[[#This Row],[order_value]]&gt;1500,"High","Moderate"))</f>
        <v>High</v>
      </c>
      <c r="I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6" s="2" t="s">
        <v>39</v>
      </c>
      <c r="K86" s="2" t="s">
        <v>16</v>
      </c>
    </row>
    <row r="87" spans="1:11" x14ac:dyDescent="0.2">
      <c r="A87" s="2" t="s">
        <v>191</v>
      </c>
      <c r="B87" s="2" t="s">
        <v>192</v>
      </c>
      <c r="C87" s="2" t="s">
        <v>34</v>
      </c>
      <c r="D87" s="3">
        <v>46156.540451388886</v>
      </c>
      <c r="E87" s="3">
        <v>46156.548784722225</v>
      </c>
      <c r="F87" s="9">
        <f>IF($K87="cancelled"," ",(quick_commerce_orders[[#This Row],[delivery_time]]-quick_commerce_orders[[#This Row],[order_time]])*1440)</f>
        <v>12.000000007683411</v>
      </c>
      <c r="G87" s="2">
        <v>1482.08</v>
      </c>
      <c r="H87" s="2" t="str">
        <f>IF(quick_commerce_orders[[#This Row],[order_value]]&lt;500,"Low",IF(quick_commerce_orders[[#This Row],[order_value]]&gt;1500,"High","Moderate"))</f>
        <v>Moderate</v>
      </c>
      <c r="I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7" s="2" t="s">
        <v>39</v>
      </c>
      <c r="K87" s="2" t="s">
        <v>16</v>
      </c>
    </row>
    <row r="88" spans="1:11" x14ac:dyDescent="0.2">
      <c r="A88" s="2" t="s">
        <v>193</v>
      </c>
      <c r="B88" s="2" t="s">
        <v>194</v>
      </c>
      <c r="C88" s="2" t="s">
        <v>53</v>
      </c>
      <c r="D88" s="3">
        <v>46163.392002314817</v>
      </c>
      <c r="E88" s="3">
        <v>46163.403807870367</v>
      </c>
      <c r="F88" s="9">
        <f>IF($K88="cancelled"," ",(quick_commerce_orders[[#This Row],[delivery_time]]-quick_commerce_orders[[#This Row],[order_time]])*1440)</f>
        <v>16.999999992549419</v>
      </c>
      <c r="G88" s="2">
        <v>287.35000000000002</v>
      </c>
      <c r="H88" s="2" t="str">
        <f>IF(quick_commerce_orders[[#This Row],[order_value]]&lt;500,"Low",IF(quick_commerce_orders[[#This Row],[order_value]]&gt;1500,"High","Moderate"))</f>
        <v>Low</v>
      </c>
      <c r="I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8" s="2" t="s">
        <v>28</v>
      </c>
      <c r="K88" s="2" t="s">
        <v>16</v>
      </c>
    </row>
    <row r="89" spans="1:11" x14ac:dyDescent="0.2">
      <c r="A89" s="2" t="s">
        <v>195</v>
      </c>
      <c r="B89" s="2" t="s">
        <v>196</v>
      </c>
      <c r="C89" s="2" t="s">
        <v>10</v>
      </c>
      <c r="D89" s="3">
        <v>46165.386377314811</v>
      </c>
      <c r="E89" s="3">
        <v>46165.397488425922</v>
      </c>
      <c r="F89" s="9">
        <f>IF($K89="cancelled"," ",(quick_commerce_orders[[#This Row],[delivery_time]]-quick_commerce_orders[[#This Row],[order_time]])*1440)</f>
        <v>15.999999999767169</v>
      </c>
      <c r="G89" s="2">
        <v>233.21</v>
      </c>
      <c r="H89" s="2" t="str">
        <f>IF(quick_commerce_orders[[#This Row],[order_value]]&lt;500,"Low",IF(quick_commerce_orders[[#This Row],[order_value]]&gt;1500,"High","Moderate"))</f>
        <v>Low</v>
      </c>
      <c r="I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9" s="2" t="s">
        <v>39</v>
      </c>
      <c r="K89" s="2" t="s">
        <v>16</v>
      </c>
    </row>
    <row r="90" spans="1:11" x14ac:dyDescent="0.2">
      <c r="A90" s="2" t="s">
        <v>197</v>
      </c>
      <c r="B90" s="2" t="s">
        <v>198</v>
      </c>
      <c r="C90" s="2" t="s">
        <v>19</v>
      </c>
      <c r="D90" s="3">
        <v>46174.588090277779</v>
      </c>
      <c r="E90" s="3">
        <v>46174.598506944443</v>
      </c>
      <c r="F90" s="9">
        <f>IF($K90="cancelled"," ",(quick_commerce_orders[[#This Row],[delivery_time]]-quick_commerce_orders[[#This Row],[order_time]])*1440)</f>
        <v>14.99999999650754</v>
      </c>
      <c r="G90" s="2">
        <v>1949.16</v>
      </c>
      <c r="H90" s="2" t="str">
        <f>IF(quick_commerce_orders[[#This Row],[order_value]]&lt;500,"Low",IF(quick_commerce_orders[[#This Row],[order_value]]&gt;1500,"High","Moderate"))</f>
        <v>High</v>
      </c>
      <c r="I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0" s="2" t="s">
        <v>11</v>
      </c>
      <c r="K90" s="2" t="s">
        <v>16</v>
      </c>
    </row>
    <row r="91" spans="1:11" x14ac:dyDescent="0.2">
      <c r="A91" s="2" t="s">
        <v>199</v>
      </c>
      <c r="B91" s="2" t="s">
        <v>200</v>
      </c>
      <c r="C91" s="2" t="s">
        <v>31</v>
      </c>
      <c r="D91" s="3">
        <v>46173.457094907404</v>
      </c>
      <c r="E91" s="3">
        <v>46173.481400462966</v>
      </c>
      <c r="F91" s="9">
        <f>IF($K91="cancelled"," ",(quick_commerce_orders[[#This Row],[delivery_time]]-quick_commerce_orders[[#This Row],[order_time]])*1440)</f>
        <v>35.000000009313226</v>
      </c>
      <c r="G91" s="2">
        <v>934.03</v>
      </c>
      <c r="H91" s="2" t="str">
        <f>IF(quick_commerce_orders[[#This Row],[order_value]]&lt;500,"Low",IF(quick_commerce_orders[[#This Row],[order_value]]&gt;1500,"High","Moderate"))</f>
        <v>Moderate</v>
      </c>
      <c r="I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1" s="2" t="s">
        <v>11</v>
      </c>
      <c r="K91" s="2" t="s">
        <v>12</v>
      </c>
    </row>
    <row r="92" spans="1:11" x14ac:dyDescent="0.2">
      <c r="A92" s="2" t="s">
        <v>201</v>
      </c>
      <c r="B92" s="2" t="s">
        <v>202</v>
      </c>
      <c r="C92" s="2" t="s">
        <v>75</v>
      </c>
      <c r="D92" s="3">
        <v>46166.434745370374</v>
      </c>
      <c r="E92" s="3">
        <v>46166.445856481485</v>
      </c>
      <c r="F92" s="9">
        <f>IF($K92="cancelled"," ",(quick_commerce_orders[[#This Row],[delivery_time]]-quick_commerce_orders[[#This Row],[order_time]])*1440)</f>
        <v>15.999999999767169</v>
      </c>
      <c r="G92" s="2">
        <v>2060.14</v>
      </c>
      <c r="H92" s="2" t="str">
        <f>IF(quick_commerce_orders[[#This Row],[order_value]]&lt;500,"Low",IF(quick_commerce_orders[[#This Row],[order_value]]&gt;1500,"High","Moderate"))</f>
        <v>High</v>
      </c>
      <c r="I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2" s="2" t="s">
        <v>15</v>
      </c>
      <c r="K92" s="2" t="s">
        <v>16</v>
      </c>
    </row>
    <row r="93" spans="1:11" x14ac:dyDescent="0.2">
      <c r="A93" s="2" t="s">
        <v>203</v>
      </c>
      <c r="B93" s="2" t="s">
        <v>204</v>
      </c>
      <c r="C93" s="2" t="s">
        <v>75</v>
      </c>
      <c r="D93" s="3">
        <v>46157.964594907404</v>
      </c>
      <c r="E93" s="3">
        <v>46157.972233796296</v>
      </c>
      <c r="F93" s="9">
        <f>IF($K93="cancelled"," ",(quick_commerce_orders[[#This Row],[delivery_time]]-quick_commerce_orders[[#This Row],[order_time]])*1440)</f>
        <v>11.000000004423782</v>
      </c>
      <c r="G93" s="2">
        <v>1098.6500000000001</v>
      </c>
      <c r="H93" s="2" t="str">
        <f>IF(quick_commerce_orders[[#This Row],[order_value]]&lt;500,"Low",IF(quick_commerce_orders[[#This Row],[order_value]]&gt;1500,"High","Moderate"))</f>
        <v>Moderate</v>
      </c>
      <c r="I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 s="2" t="s">
        <v>80</v>
      </c>
      <c r="K93" s="2" t="s">
        <v>16</v>
      </c>
    </row>
    <row r="94" spans="1:11" x14ac:dyDescent="0.2">
      <c r="A94" s="2" t="s">
        <v>205</v>
      </c>
      <c r="B94" s="2" t="s">
        <v>206</v>
      </c>
      <c r="C94" s="2" t="s">
        <v>27</v>
      </c>
      <c r="D94" s="3">
        <v>46159.7497337963</v>
      </c>
      <c r="E94" s="3">
        <v>46159.762233796297</v>
      </c>
      <c r="F94" s="9">
        <f>IF($K94="cancelled"," ",(quick_commerce_orders[[#This Row],[delivery_time]]-quick_commerce_orders[[#This Row],[order_time]])*1440)</f>
        <v>17.999999995809048</v>
      </c>
      <c r="G94" s="2">
        <v>2181.79</v>
      </c>
      <c r="H94" s="2" t="str">
        <f>IF(quick_commerce_orders[[#This Row],[order_value]]&lt;500,"Low",IF(quick_commerce_orders[[#This Row],[order_value]]&gt;1500,"High","Moderate"))</f>
        <v>High</v>
      </c>
      <c r="I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4" s="2" t="s">
        <v>20</v>
      </c>
      <c r="K94" s="2" t="s">
        <v>16</v>
      </c>
    </row>
    <row r="95" spans="1:11" x14ac:dyDescent="0.2">
      <c r="A95" s="2" t="s">
        <v>207</v>
      </c>
      <c r="B95" s="2" t="s">
        <v>208</v>
      </c>
      <c r="C95" s="2" t="s">
        <v>19</v>
      </c>
      <c r="D95" s="3">
        <v>46169.381388888891</v>
      </c>
      <c r="E95" s="3">
        <v>46169.394583333335</v>
      </c>
      <c r="F95" s="9">
        <f>IF($K95="cancelled"," ",(quick_commerce_orders[[#This Row],[delivery_time]]-quick_commerce_orders[[#This Row],[order_time]])*1440)</f>
        <v>18.999999999068677</v>
      </c>
      <c r="G95" s="2">
        <v>2186.4899999999998</v>
      </c>
      <c r="H95" s="2" t="str">
        <f>IF(quick_commerce_orders[[#This Row],[order_value]]&lt;500,"Low",IF(quick_commerce_orders[[#This Row],[order_value]]&gt;1500,"High","Moderate"))</f>
        <v>High</v>
      </c>
      <c r="I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5" s="2" t="s">
        <v>11</v>
      </c>
      <c r="K95" s="2" t="s">
        <v>16</v>
      </c>
    </row>
    <row r="96" spans="1:11" x14ac:dyDescent="0.2">
      <c r="A96" s="2" t="s">
        <v>209</v>
      </c>
      <c r="B96" s="2" t="s">
        <v>210</v>
      </c>
      <c r="C96" s="2" t="s">
        <v>75</v>
      </c>
      <c r="D96" s="3">
        <v>46164.308749999997</v>
      </c>
      <c r="E96" s="3">
        <v>46164.320555555554</v>
      </c>
      <c r="F96" s="9">
        <f>IF($K96="cancelled"," ",(quick_commerce_orders[[#This Row],[delivery_time]]-quick_commerce_orders[[#This Row],[order_time]])*1440)</f>
        <v>17.000000003026798</v>
      </c>
      <c r="G96" s="2">
        <v>643.12</v>
      </c>
      <c r="H96" s="2" t="str">
        <f>IF(quick_commerce_orders[[#This Row],[order_value]]&lt;500,"Low",IF(quick_commerce_orders[[#This Row],[order_value]]&gt;1500,"High","Moderate"))</f>
        <v>Moderate</v>
      </c>
      <c r="I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6" s="2" t="s">
        <v>20</v>
      </c>
      <c r="K96" s="2" t="s">
        <v>16</v>
      </c>
    </row>
    <row r="97" spans="1:11" x14ac:dyDescent="0.2">
      <c r="A97" s="2" t="s">
        <v>211</v>
      </c>
      <c r="B97" s="2" t="s">
        <v>212</v>
      </c>
      <c r="C97" s="2" t="s">
        <v>27</v>
      </c>
      <c r="D97" s="3">
        <v>46158.649780092594</v>
      </c>
      <c r="E97" s="3">
        <v>46158.662280092591</v>
      </c>
      <c r="F97" s="9">
        <f>IF($K97="cancelled"," ",(quick_commerce_orders[[#This Row],[delivery_time]]-quick_commerce_orders[[#This Row],[order_time]])*1440)</f>
        <v>17.999999995809048</v>
      </c>
      <c r="G97" s="2">
        <v>1665.67</v>
      </c>
      <c r="H97" s="2" t="str">
        <f>IF(quick_commerce_orders[[#This Row],[order_value]]&lt;500,"Low",IF(quick_commerce_orders[[#This Row],[order_value]]&gt;1500,"High","Moderate"))</f>
        <v>High</v>
      </c>
      <c r="I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 s="2" t="s">
        <v>11</v>
      </c>
      <c r="K97" s="2" t="s">
        <v>16</v>
      </c>
    </row>
    <row r="98" spans="1:11" x14ac:dyDescent="0.2">
      <c r="A98" s="2" t="s">
        <v>213</v>
      </c>
      <c r="B98" s="2" t="s">
        <v>214</v>
      </c>
      <c r="C98" s="2" t="s">
        <v>27</v>
      </c>
      <c r="D98" s="3">
        <v>46164.367268518516</v>
      </c>
      <c r="E98" s="3">
        <v>46164.37976851852</v>
      </c>
      <c r="F98" s="9">
        <f>IF($K98="cancelled"," ",(quick_commerce_orders[[#This Row],[delivery_time]]-quick_commerce_orders[[#This Row],[order_time]])*1440)</f>
        <v>18.000000006286427</v>
      </c>
      <c r="G98" s="2">
        <v>1544.52</v>
      </c>
      <c r="H98" s="2" t="str">
        <f>IF(quick_commerce_orders[[#This Row],[order_value]]&lt;500,"Low",IF(quick_commerce_orders[[#This Row],[order_value]]&gt;1500,"High","Moderate"))</f>
        <v>High</v>
      </c>
      <c r="I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8" s="2" t="s">
        <v>28</v>
      </c>
      <c r="K98" s="2" t="s">
        <v>16</v>
      </c>
    </row>
    <row r="99" spans="1:11" x14ac:dyDescent="0.2">
      <c r="A99" s="2" t="s">
        <v>215</v>
      </c>
      <c r="B99" s="2" t="s">
        <v>216</v>
      </c>
      <c r="C99" s="2" t="s">
        <v>34</v>
      </c>
      <c r="D99" s="3">
        <v>46174.987349537034</v>
      </c>
      <c r="E99" s="3">
        <v>46174.999155092592</v>
      </c>
      <c r="F99" s="9">
        <f>IF($K99="cancelled"," ",(quick_commerce_orders[[#This Row],[delivery_time]]-quick_commerce_orders[[#This Row],[order_time]])*1440)</f>
        <v>17.000000003026798</v>
      </c>
      <c r="G99" s="2">
        <v>126.44</v>
      </c>
      <c r="H99" s="2" t="str">
        <f>IF(quick_commerce_orders[[#This Row],[order_value]]&lt;500,"Low",IF(quick_commerce_orders[[#This Row],[order_value]]&gt;1500,"High","Moderate"))</f>
        <v>Low</v>
      </c>
      <c r="I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9" s="2" t="s">
        <v>28</v>
      </c>
      <c r="K99" s="2" t="s">
        <v>16</v>
      </c>
    </row>
    <row r="100" spans="1:11" x14ac:dyDescent="0.2">
      <c r="A100" s="2" t="s">
        <v>217</v>
      </c>
      <c r="B100" s="2" t="s">
        <v>218</v>
      </c>
      <c r="C100" s="2" t="s">
        <v>75</v>
      </c>
      <c r="D100" s="3">
        <v>46174.590810185182</v>
      </c>
      <c r="E100" s="3">
        <v>46174.60261574074</v>
      </c>
      <c r="F100" s="9">
        <f>IF($K100="cancelled"," ",(quick_commerce_orders[[#This Row],[delivery_time]]-quick_commerce_orders[[#This Row],[order_time]])*1440)</f>
        <v>17.000000003026798</v>
      </c>
      <c r="G100" s="2">
        <v>1964.8</v>
      </c>
      <c r="H100" s="2" t="str">
        <f>IF(quick_commerce_orders[[#This Row],[order_value]]&lt;500,"Low",IF(quick_commerce_orders[[#This Row],[order_value]]&gt;1500,"High","Moderate"))</f>
        <v>High</v>
      </c>
      <c r="I1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0" s="2" t="s">
        <v>28</v>
      </c>
      <c r="K100" s="2" t="s">
        <v>16</v>
      </c>
    </row>
    <row r="101" spans="1:11" x14ac:dyDescent="0.2">
      <c r="A101" s="2" t="s">
        <v>219</v>
      </c>
      <c r="B101" s="2" t="s">
        <v>220</v>
      </c>
      <c r="C101" s="2" t="s">
        <v>10</v>
      </c>
      <c r="D101" s="3">
        <v>46165.214421296296</v>
      </c>
      <c r="E101" s="3">
        <v>46165.221365740741</v>
      </c>
      <c r="F101" s="9">
        <f>IF($K101="cancelled"," ",(quick_commerce_orders[[#This Row],[delivery_time]]-quick_commerce_orders[[#This Row],[order_time]])*1440)</f>
        <v>10.000000001164153</v>
      </c>
      <c r="G101" s="2">
        <v>1016.97</v>
      </c>
      <c r="H101" s="2" t="str">
        <f>IF(quick_commerce_orders[[#This Row],[order_value]]&lt;500,"Low",IF(quick_commerce_orders[[#This Row],[order_value]]&gt;1500,"High","Moderate"))</f>
        <v>Moderate</v>
      </c>
      <c r="I1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01" s="2" t="s">
        <v>11</v>
      </c>
      <c r="K101" s="2" t="s">
        <v>16</v>
      </c>
    </row>
    <row r="102" spans="1:11" x14ac:dyDescent="0.2">
      <c r="A102" s="2" t="s">
        <v>221</v>
      </c>
      <c r="B102" s="2" t="s">
        <v>222</v>
      </c>
      <c r="C102" s="2" t="s">
        <v>31</v>
      </c>
      <c r="D102" s="3">
        <v>46174.249259259261</v>
      </c>
      <c r="E102" s="3">
        <v>46174.26939814815</v>
      </c>
      <c r="F102" s="9">
        <f>IF($K102="cancelled"," ",(quick_commerce_orders[[#This Row],[delivery_time]]-quick_commerce_orders[[#This Row],[order_time]])*1440)</f>
        <v>29.000000000232831</v>
      </c>
      <c r="G102" s="2">
        <v>830.48</v>
      </c>
      <c r="H102" s="2" t="str">
        <f>IF(quick_commerce_orders[[#This Row],[order_value]]&lt;500,"Low",IF(quick_commerce_orders[[#This Row],[order_value]]&gt;1500,"High","Moderate"))</f>
        <v>Moderate</v>
      </c>
      <c r="I1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02" s="2" t="s">
        <v>80</v>
      </c>
      <c r="K102" s="2" t="s">
        <v>12</v>
      </c>
    </row>
    <row r="103" spans="1:11" x14ac:dyDescent="0.2">
      <c r="A103" s="2" t="s">
        <v>223</v>
      </c>
      <c r="B103" s="2" t="s">
        <v>224</v>
      </c>
      <c r="C103" s="2" t="s">
        <v>10</v>
      </c>
      <c r="D103" s="3">
        <v>46146.668668981481</v>
      </c>
      <c r="E103" s="3">
        <v>46146.680474537039</v>
      </c>
      <c r="F103" s="9">
        <f>IF($K103="cancelled"," ",(quick_commerce_orders[[#This Row],[delivery_time]]-quick_commerce_orders[[#This Row],[order_time]])*1440)</f>
        <v>17.000000003026798</v>
      </c>
      <c r="G103" s="2">
        <v>197.84</v>
      </c>
      <c r="H103" s="2" t="str">
        <f>IF(quick_commerce_orders[[#This Row],[order_value]]&lt;500,"Low",IF(quick_commerce_orders[[#This Row],[order_value]]&gt;1500,"High","Moderate"))</f>
        <v>Low</v>
      </c>
      <c r="I1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3" s="2" t="s">
        <v>15</v>
      </c>
      <c r="K103" s="2" t="s">
        <v>16</v>
      </c>
    </row>
    <row r="104" spans="1:11" x14ac:dyDescent="0.2">
      <c r="A104" s="2" t="s">
        <v>225</v>
      </c>
      <c r="B104" s="2" t="s">
        <v>226</v>
      </c>
      <c r="C104" s="2" t="s">
        <v>10</v>
      </c>
      <c r="D104" s="3">
        <v>46147.877638888887</v>
      </c>
      <c r="E104" s="3">
        <v>46147.884583333333</v>
      </c>
      <c r="F104" s="9">
        <f>IF($K104="cancelled"," ",(quick_commerce_orders[[#This Row],[delivery_time]]-quick_commerce_orders[[#This Row],[order_time]])*1440)</f>
        <v>10.000000001164153</v>
      </c>
      <c r="G104" s="2">
        <v>1394.83</v>
      </c>
      <c r="H104" s="2" t="str">
        <f>IF(quick_commerce_orders[[#This Row],[order_value]]&lt;500,"Low",IF(quick_commerce_orders[[#This Row],[order_value]]&gt;1500,"High","Moderate"))</f>
        <v>Moderate</v>
      </c>
      <c r="I1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4" s="2" t="s">
        <v>20</v>
      </c>
      <c r="K104" s="2" t="s">
        <v>16</v>
      </c>
    </row>
    <row r="105" spans="1:11" x14ac:dyDescent="0.2">
      <c r="A105" s="2" t="s">
        <v>227</v>
      </c>
      <c r="B105" s="2" t="s">
        <v>228</v>
      </c>
      <c r="C105" s="2" t="s">
        <v>75</v>
      </c>
      <c r="D105" s="3">
        <v>46143.547835648147</v>
      </c>
      <c r="E105" s="3"/>
      <c r="F105" s="9" t="str">
        <f>IF($K105="cancelled"," ",(quick_commerce_orders[[#This Row],[delivery_time]]-quick_commerce_orders[[#This Row],[order_time]])*1440)</f>
        <v xml:space="preserve"> </v>
      </c>
      <c r="G105" s="2">
        <v>457.99</v>
      </c>
      <c r="H105" s="2" t="str">
        <f>IF(quick_commerce_orders[[#This Row],[order_value]]&lt;500,"Low",IF(quick_commerce_orders[[#This Row],[order_value]]&gt;1500,"High","Moderate"))</f>
        <v>Low</v>
      </c>
      <c r="I1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5" s="2" t="s">
        <v>20</v>
      </c>
      <c r="K105" s="2" t="s">
        <v>58</v>
      </c>
    </row>
    <row r="106" spans="1:11" x14ac:dyDescent="0.2">
      <c r="A106" s="2" t="s">
        <v>229</v>
      </c>
      <c r="B106" s="2" t="s">
        <v>230</v>
      </c>
      <c r="C106" s="2" t="s">
        <v>42</v>
      </c>
      <c r="D106" s="3">
        <v>46157.114687499998</v>
      </c>
      <c r="E106" s="3">
        <v>46157.127881944441</v>
      </c>
      <c r="F106" s="9">
        <f>IF($K106="cancelled"," ",(quick_commerce_orders[[#This Row],[delivery_time]]-quick_commerce_orders[[#This Row],[order_time]])*1440)</f>
        <v>18.999999999068677</v>
      </c>
      <c r="G106" s="2">
        <v>1304.76</v>
      </c>
      <c r="H106" s="2" t="str">
        <f>IF(quick_commerce_orders[[#This Row],[order_value]]&lt;500,"Low",IF(quick_commerce_orders[[#This Row],[order_value]]&gt;1500,"High","Moderate"))</f>
        <v>Moderate</v>
      </c>
      <c r="I1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06" s="2" t="s">
        <v>28</v>
      </c>
      <c r="K106" s="2" t="s">
        <v>16</v>
      </c>
    </row>
    <row r="107" spans="1:11" x14ac:dyDescent="0.2">
      <c r="A107" s="2" t="s">
        <v>231</v>
      </c>
      <c r="B107" s="2" t="s">
        <v>232</v>
      </c>
      <c r="C107" s="2" t="s">
        <v>53</v>
      </c>
      <c r="D107" s="3">
        <v>46143.272557870368</v>
      </c>
      <c r="E107" s="3">
        <v>46143.278807870367</v>
      </c>
      <c r="F107" s="9">
        <f>IF($K107="cancelled"," ",(quick_commerce_orders[[#This Row],[delivery_time]]-quick_commerce_orders[[#This Row],[order_time]])*1440)</f>
        <v>8.9999999979045242</v>
      </c>
      <c r="G107" s="2">
        <v>628.91</v>
      </c>
      <c r="H107" s="2" t="str">
        <f>IF(quick_commerce_orders[[#This Row],[order_value]]&lt;500,"Low",IF(quick_commerce_orders[[#This Row],[order_value]]&gt;1500,"High","Moderate"))</f>
        <v>Moderate</v>
      </c>
      <c r="I1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07" s="2" t="s">
        <v>28</v>
      </c>
      <c r="K107" s="2" t="s">
        <v>16</v>
      </c>
    </row>
    <row r="108" spans="1:11" x14ac:dyDescent="0.2">
      <c r="A108" s="2" t="s">
        <v>233</v>
      </c>
      <c r="B108" s="2" t="s">
        <v>234</v>
      </c>
      <c r="C108" s="2" t="s">
        <v>27</v>
      </c>
      <c r="D108" s="3">
        <v>46166.069212962961</v>
      </c>
      <c r="E108" s="3"/>
      <c r="F108" s="9" t="str">
        <f>IF($K108="cancelled"," ",(quick_commerce_orders[[#This Row],[delivery_time]]-quick_commerce_orders[[#This Row],[order_time]])*1440)</f>
        <v xml:space="preserve"> </v>
      </c>
      <c r="G108" s="2">
        <v>220.25</v>
      </c>
      <c r="H108" s="2" t="str">
        <f>IF(quick_commerce_orders[[#This Row],[order_value]]&lt;500,"Low",IF(quick_commerce_orders[[#This Row],[order_value]]&gt;1500,"High","Moderate"))</f>
        <v>Low</v>
      </c>
      <c r="I1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8" s="2" t="s">
        <v>15</v>
      </c>
      <c r="K108" s="2" t="s">
        <v>58</v>
      </c>
    </row>
    <row r="109" spans="1:11" x14ac:dyDescent="0.2">
      <c r="A109" s="2" t="s">
        <v>235</v>
      </c>
      <c r="B109" s="2" t="s">
        <v>236</v>
      </c>
      <c r="C109" s="2" t="s">
        <v>75</v>
      </c>
      <c r="D109" s="3">
        <v>46173.896539351852</v>
      </c>
      <c r="E109" s="3">
        <v>46173.903483796297</v>
      </c>
      <c r="F109" s="9">
        <f>IF($K109="cancelled"," ",(quick_commerce_orders[[#This Row],[delivery_time]]-quick_commerce_orders[[#This Row],[order_time]])*1440)</f>
        <v>10.000000001164153</v>
      </c>
      <c r="G109" s="2">
        <v>1854.79</v>
      </c>
      <c r="H109" s="2" t="str">
        <f>IF(quick_commerce_orders[[#This Row],[order_value]]&lt;500,"Low",IF(quick_commerce_orders[[#This Row],[order_value]]&gt;1500,"High","Moderate"))</f>
        <v>High</v>
      </c>
      <c r="I1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9" s="2" t="s">
        <v>11</v>
      </c>
      <c r="K109" s="2" t="s">
        <v>16</v>
      </c>
    </row>
    <row r="110" spans="1:11" x14ac:dyDescent="0.2">
      <c r="A110" s="2" t="s">
        <v>237</v>
      </c>
      <c r="B110" s="2" t="s">
        <v>238</v>
      </c>
      <c r="C110" s="2" t="s">
        <v>34</v>
      </c>
      <c r="D110" s="3">
        <v>46143.732939814814</v>
      </c>
      <c r="E110" s="3">
        <v>46143.741273148145</v>
      </c>
      <c r="F110" s="9">
        <f>IF($K110="cancelled"," ",(quick_commerce_orders[[#This Row],[delivery_time]]-quick_commerce_orders[[#This Row],[order_time]])*1440)</f>
        <v>11.999999997206032</v>
      </c>
      <c r="G110" s="2">
        <v>1041.92</v>
      </c>
      <c r="H110" s="2" t="str">
        <f>IF(quick_commerce_orders[[#This Row],[order_value]]&lt;500,"Low",IF(quick_commerce_orders[[#This Row],[order_value]]&gt;1500,"High","Moderate"))</f>
        <v>Moderate</v>
      </c>
      <c r="I1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0" s="2" t="s">
        <v>39</v>
      </c>
      <c r="K110" s="2" t="s">
        <v>16</v>
      </c>
    </row>
    <row r="111" spans="1:11" x14ac:dyDescent="0.2">
      <c r="A111" s="2" t="s">
        <v>239</v>
      </c>
      <c r="B111" s="2" t="s">
        <v>240</v>
      </c>
      <c r="C111" s="2" t="s">
        <v>27</v>
      </c>
      <c r="D111" s="3">
        <v>46143.023449074077</v>
      </c>
      <c r="E111" s="3">
        <v>46143.035254629627</v>
      </c>
      <c r="F111" s="9">
        <f>IF($K111="cancelled"," ",(quick_commerce_orders[[#This Row],[delivery_time]]-quick_commerce_orders[[#This Row],[order_time]])*1440)</f>
        <v>16.999999992549419</v>
      </c>
      <c r="G111" s="2">
        <v>1168.48</v>
      </c>
      <c r="H111" s="2" t="str">
        <f>IF(quick_commerce_orders[[#This Row],[order_value]]&lt;500,"Low",IF(quick_commerce_orders[[#This Row],[order_value]]&gt;1500,"High","Moderate"))</f>
        <v>Moderate</v>
      </c>
      <c r="I1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1" s="2" t="s">
        <v>15</v>
      </c>
      <c r="K111" s="2" t="s">
        <v>16</v>
      </c>
    </row>
    <row r="112" spans="1:11" x14ac:dyDescent="0.2">
      <c r="A112" s="2" t="s">
        <v>241</v>
      </c>
      <c r="B112" s="2" t="s">
        <v>242</v>
      </c>
      <c r="C112" s="2" t="s">
        <v>31</v>
      </c>
      <c r="D112" s="3">
        <v>46160.72084490741</v>
      </c>
      <c r="E112" s="3">
        <v>46160.728483796294</v>
      </c>
      <c r="F112" s="9">
        <f>IF($K112="cancelled"," ",(quick_commerce_orders[[#This Row],[delivery_time]]-quick_commerce_orders[[#This Row],[order_time]])*1440)</f>
        <v>10.999999993946403</v>
      </c>
      <c r="G112" s="2">
        <v>1527.32</v>
      </c>
      <c r="H112" s="2" t="str">
        <f>IF(quick_commerce_orders[[#This Row],[order_value]]&lt;500,"Low",IF(quick_commerce_orders[[#This Row],[order_value]]&gt;1500,"High","Moderate"))</f>
        <v>High</v>
      </c>
      <c r="I1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2" s="2" t="s">
        <v>28</v>
      </c>
      <c r="K112" s="2" t="s">
        <v>16</v>
      </c>
    </row>
    <row r="113" spans="1:11" x14ac:dyDescent="0.2">
      <c r="A113" s="2" t="s">
        <v>243</v>
      </c>
      <c r="B113" s="2" t="s">
        <v>244</v>
      </c>
      <c r="C113" s="2" t="s">
        <v>42</v>
      </c>
      <c r="D113" s="3">
        <v>46170.213171296295</v>
      </c>
      <c r="E113" s="3">
        <v>46170.224282407406</v>
      </c>
      <c r="F113" s="9">
        <f>IF($K113="cancelled"," ",(quick_commerce_orders[[#This Row],[delivery_time]]-quick_commerce_orders[[#This Row],[order_time]])*1440)</f>
        <v>15.999999999767169</v>
      </c>
      <c r="G113" s="2">
        <v>1310.3499999999999</v>
      </c>
      <c r="H113" s="2" t="str">
        <f>IF(quick_commerce_orders[[#This Row],[order_value]]&lt;500,"Low",IF(quick_commerce_orders[[#This Row],[order_value]]&gt;1500,"High","Moderate"))</f>
        <v>Moderate</v>
      </c>
      <c r="I1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13" s="2" t="s">
        <v>11</v>
      </c>
      <c r="K113" s="2" t="s">
        <v>16</v>
      </c>
    </row>
    <row r="114" spans="1:11" x14ac:dyDescent="0.2">
      <c r="A114" s="2" t="s">
        <v>245</v>
      </c>
      <c r="B114" s="2" t="s">
        <v>246</v>
      </c>
      <c r="C114" s="2" t="s">
        <v>53</v>
      </c>
      <c r="D114" s="3">
        <v>46149.673090277778</v>
      </c>
      <c r="E114" s="3">
        <v>46149.686284722222</v>
      </c>
      <c r="F114" s="9">
        <f>IF($K114="cancelled"," ",(quick_commerce_orders[[#This Row],[delivery_time]]-quick_commerce_orders[[#This Row],[order_time]])*1440)</f>
        <v>18.999999999068677</v>
      </c>
      <c r="G114" s="2">
        <v>632.01</v>
      </c>
      <c r="H114" s="2" t="str">
        <f>IF(quick_commerce_orders[[#This Row],[order_value]]&lt;500,"Low",IF(quick_commerce_orders[[#This Row],[order_value]]&gt;1500,"High","Moderate"))</f>
        <v>Moderate</v>
      </c>
      <c r="I1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4" s="2" t="s">
        <v>20</v>
      </c>
      <c r="K114" s="2" t="s">
        <v>16</v>
      </c>
    </row>
    <row r="115" spans="1:11" x14ac:dyDescent="0.2">
      <c r="A115" s="2" t="s">
        <v>247</v>
      </c>
      <c r="B115" s="2" t="s">
        <v>248</v>
      </c>
      <c r="C115" s="2" t="s">
        <v>75</v>
      </c>
      <c r="D115" s="3">
        <v>46155.814768518518</v>
      </c>
      <c r="E115" s="3">
        <v>46155.828657407408</v>
      </c>
      <c r="F115" s="9">
        <f>IF($K115="cancelled"," ",(quick_commerce_orders[[#This Row],[delivery_time]]-quick_commerce_orders[[#This Row],[order_time]])*1440)</f>
        <v>20.000000002328306</v>
      </c>
      <c r="G115" s="2">
        <v>794.48</v>
      </c>
      <c r="H115" s="2" t="str">
        <f>IF(quick_commerce_orders[[#This Row],[order_value]]&lt;500,"Low",IF(quick_commerce_orders[[#This Row],[order_value]]&gt;1500,"High","Moderate"))</f>
        <v>Moderate</v>
      </c>
      <c r="I1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5" s="2" t="s">
        <v>15</v>
      </c>
      <c r="K115" s="2" t="s">
        <v>16</v>
      </c>
    </row>
    <row r="116" spans="1:11" x14ac:dyDescent="0.2">
      <c r="A116" s="2" t="s">
        <v>249</v>
      </c>
      <c r="B116" s="2" t="s">
        <v>250</v>
      </c>
      <c r="C116" s="2" t="s">
        <v>31</v>
      </c>
      <c r="D116" s="3">
        <v>46165.368344907409</v>
      </c>
      <c r="E116" s="3">
        <v>46165.37667824074</v>
      </c>
      <c r="F116" s="9">
        <f>IF($K116="cancelled"," ",(quick_commerce_orders[[#This Row],[delivery_time]]-quick_commerce_orders[[#This Row],[order_time]])*1440)</f>
        <v>11.999999997206032</v>
      </c>
      <c r="G116" s="2">
        <v>1045.3699999999999</v>
      </c>
      <c r="H116" s="2" t="str">
        <f>IF(quick_commerce_orders[[#This Row],[order_value]]&lt;500,"Low",IF(quick_commerce_orders[[#This Row],[order_value]]&gt;1500,"High","Moderate"))</f>
        <v>Moderate</v>
      </c>
      <c r="I1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16" s="2" t="s">
        <v>39</v>
      </c>
      <c r="K116" s="2" t="s">
        <v>16</v>
      </c>
    </row>
    <row r="117" spans="1:11" x14ac:dyDescent="0.2">
      <c r="A117" s="2" t="s">
        <v>251</v>
      </c>
      <c r="B117" s="2" t="s">
        <v>252</v>
      </c>
      <c r="C117" s="2" t="s">
        <v>19</v>
      </c>
      <c r="D117" s="3">
        <v>46148.476030092592</v>
      </c>
      <c r="E117" s="3">
        <v>46148.483668981484</v>
      </c>
      <c r="F117" s="9">
        <f>IF($K117="cancelled"," ",(quick_commerce_orders[[#This Row],[delivery_time]]-quick_commerce_orders[[#This Row],[order_time]])*1440)</f>
        <v>11.000000004423782</v>
      </c>
      <c r="G117" s="2">
        <v>416.25</v>
      </c>
      <c r="H117" s="2" t="str">
        <f>IF(quick_commerce_orders[[#This Row],[order_value]]&lt;500,"Low",IF(quick_commerce_orders[[#This Row],[order_value]]&gt;1500,"High","Moderate"))</f>
        <v>Low</v>
      </c>
      <c r="I1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17" s="2" t="s">
        <v>11</v>
      </c>
      <c r="K117" s="2" t="s">
        <v>16</v>
      </c>
    </row>
    <row r="118" spans="1:11" x14ac:dyDescent="0.2">
      <c r="A118" s="2" t="s">
        <v>253</v>
      </c>
      <c r="B118" s="2" t="s">
        <v>254</v>
      </c>
      <c r="C118" s="2" t="s">
        <v>42</v>
      </c>
      <c r="D118" s="3">
        <v>46158.926608796297</v>
      </c>
      <c r="E118" s="3">
        <v>46158.939108796294</v>
      </c>
      <c r="F118" s="9">
        <f>IF($K118="cancelled"," ",(quick_commerce_orders[[#This Row],[delivery_time]]-quick_commerce_orders[[#This Row],[order_time]])*1440)</f>
        <v>17.999999995809048</v>
      </c>
      <c r="G118" s="2">
        <v>297.11</v>
      </c>
      <c r="H118" s="2" t="str">
        <f>IF(quick_commerce_orders[[#This Row],[order_value]]&lt;500,"Low",IF(quick_commerce_orders[[#This Row],[order_value]]&gt;1500,"High","Moderate"))</f>
        <v>Low</v>
      </c>
      <c r="I1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8" s="2" t="s">
        <v>80</v>
      </c>
      <c r="K118" s="2" t="s">
        <v>16</v>
      </c>
    </row>
    <row r="119" spans="1:11" x14ac:dyDescent="0.2">
      <c r="A119" s="2" t="s">
        <v>255</v>
      </c>
      <c r="B119" s="2" t="s">
        <v>256</v>
      </c>
      <c r="C119" s="2" t="s">
        <v>10</v>
      </c>
      <c r="D119" s="3">
        <v>46148.871307870373</v>
      </c>
      <c r="E119" s="3">
        <v>46148.876863425925</v>
      </c>
      <c r="F119" s="9">
        <f>IF($K119="cancelled"," ",(quick_commerce_orders[[#This Row],[delivery_time]]-quick_commerce_orders[[#This Row],[order_time]])*1440)</f>
        <v>7.9999999946448952</v>
      </c>
      <c r="G119" s="2">
        <v>1470.46</v>
      </c>
      <c r="H119" s="2" t="str">
        <f>IF(quick_commerce_orders[[#This Row],[order_value]]&lt;500,"Low",IF(quick_commerce_orders[[#This Row],[order_value]]&gt;1500,"High","Moderate"))</f>
        <v>Moderate</v>
      </c>
      <c r="I1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19" s="2" t="s">
        <v>80</v>
      </c>
      <c r="K119" s="2" t="s">
        <v>16</v>
      </c>
    </row>
    <row r="120" spans="1:11" x14ac:dyDescent="0.2">
      <c r="A120" s="2" t="s">
        <v>257</v>
      </c>
      <c r="B120" s="2" t="s">
        <v>258</v>
      </c>
      <c r="C120" s="2" t="s">
        <v>42</v>
      </c>
      <c r="D120" s="3">
        <v>46145.100972222222</v>
      </c>
      <c r="E120" s="3">
        <v>46145.114166666666</v>
      </c>
      <c r="F120" s="9">
        <f>IF($K120="cancelled"," ",(quick_commerce_orders[[#This Row],[delivery_time]]-quick_commerce_orders[[#This Row],[order_time]])*1440)</f>
        <v>18.999999999068677</v>
      </c>
      <c r="G120" s="2">
        <v>217.35</v>
      </c>
      <c r="H120" s="2" t="str">
        <f>IF(quick_commerce_orders[[#This Row],[order_value]]&lt;500,"Low",IF(quick_commerce_orders[[#This Row],[order_value]]&gt;1500,"High","Moderate"))</f>
        <v>Low</v>
      </c>
      <c r="I1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20" s="2" t="s">
        <v>20</v>
      </c>
      <c r="K120" s="2" t="s">
        <v>16</v>
      </c>
    </row>
    <row r="121" spans="1:11" x14ac:dyDescent="0.2">
      <c r="A121" s="2" t="s">
        <v>259</v>
      </c>
      <c r="B121" s="2" t="s">
        <v>260</v>
      </c>
      <c r="C121" s="2" t="s">
        <v>31</v>
      </c>
      <c r="D121" s="3">
        <v>46167.729201388887</v>
      </c>
      <c r="E121" s="3">
        <v>46167.741701388892</v>
      </c>
      <c r="F121" s="9">
        <f>IF($K121="cancelled"," ",(quick_commerce_orders[[#This Row],[delivery_time]]-quick_commerce_orders[[#This Row],[order_time]])*1440)</f>
        <v>18.000000006286427</v>
      </c>
      <c r="G121" s="2">
        <v>1057.06</v>
      </c>
      <c r="H121" s="2" t="str">
        <f>IF(quick_commerce_orders[[#This Row],[order_value]]&lt;500,"Low",IF(quick_commerce_orders[[#This Row],[order_value]]&gt;1500,"High","Moderate"))</f>
        <v>Moderate</v>
      </c>
      <c r="I1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1" s="2" t="s">
        <v>39</v>
      </c>
      <c r="K121" s="2" t="s">
        <v>16</v>
      </c>
    </row>
    <row r="122" spans="1:11" x14ac:dyDescent="0.2">
      <c r="A122" s="2" t="s">
        <v>261</v>
      </c>
      <c r="B122" s="2" t="s">
        <v>262</v>
      </c>
      <c r="C122" s="2" t="s">
        <v>75</v>
      </c>
      <c r="D122" s="3">
        <v>46143.923668981479</v>
      </c>
      <c r="E122" s="3">
        <v>46143.93478009259</v>
      </c>
      <c r="F122" s="9">
        <f>IF($K122="cancelled"," ",(quick_commerce_orders[[#This Row],[delivery_time]]-quick_commerce_orders[[#This Row],[order_time]])*1440)</f>
        <v>15.999999999767169</v>
      </c>
      <c r="G122" s="2">
        <v>303.19</v>
      </c>
      <c r="H122" s="2" t="str">
        <f>IF(quick_commerce_orders[[#This Row],[order_value]]&lt;500,"Low",IF(quick_commerce_orders[[#This Row],[order_value]]&gt;1500,"High","Moderate"))</f>
        <v>Low</v>
      </c>
      <c r="I1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2" s="2" t="s">
        <v>15</v>
      </c>
      <c r="K122" s="2" t="s">
        <v>16</v>
      </c>
    </row>
    <row r="123" spans="1:11" x14ac:dyDescent="0.2">
      <c r="A123" s="2" t="s">
        <v>263</v>
      </c>
      <c r="B123" s="2" t="s">
        <v>264</v>
      </c>
      <c r="C123" s="2" t="s">
        <v>42</v>
      </c>
      <c r="D123" s="3">
        <v>46174.570717592593</v>
      </c>
      <c r="E123" s="3">
        <v>46174.599189814813</v>
      </c>
      <c r="F123" s="9">
        <f>IF($K123="cancelled"," ",(quick_commerce_orders[[#This Row],[delivery_time]]-quick_commerce_orders[[#This Row],[order_time]])*1440)</f>
        <v>40.999999997438863</v>
      </c>
      <c r="G123" s="2">
        <v>1303.3800000000001</v>
      </c>
      <c r="H123" s="2" t="str">
        <f>IF(quick_commerce_orders[[#This Row],[order_value]]&lt;500,"Low",IF(quick_commerce_orders[[#This Row],[order_value]]&gt;1500,"High","Moderate"))</f>
        <v>Moderate</v>
      </c>
      <c r="I1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3" s="2" t="s">
        <v>28</v>
      </c>
      <c r="K123" s="2" t="s">
        <v>12</v>
      </c>
    </row>
    <row r="124" spans="1:11" x14ac:dyDescent="0.2">
      <c r="A124" s="2" t="s">
        <v>265</v>
      </c>
      <c r="B124" s="2" t="s">
        <v>266</v>
      </c>
      <c r="C124" s="2" t="s">
        <v>75</v>
      </c>
      <c r="D124" s="3">
        <v>46164.787569444445</v>
      </c>
      <c r="E124" s="3">
        <v>46164.800069444442</v>
      </c>
      <c r="F124" s="9">
        <f>IF($K124="cancelled"," ",(quick_commerce_orders[[#This Row],[delivery_time]]-quick_commerce_orders[[#This Row],[order_time]])*1440)</f>
        <v>17.999999995809048</v>
      </c>
      <c r="G124" s="2">
        <v>1956.18</v>
      </c>
      <c r="H124" s="2" t="str">
        <f>IF(quick_commerce_orders[[#This Row],[order_value]]&lt;500,"Low",IF(quick_commerce_orders[[#This Row],[order_value]]&gt;1500,"High","Moderate"))</f>
        <v>High</v>
      </c>
      <c r="I1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4" s="2" t="s">
        <v>28</v>
      </c>
      <c r="K124" s="2" t="s">
        <v>16</v>
      </c>
    </row>
    <row r="125" spans="1:11" x14ac:dyDescent="0.2">
      <c r="A125" s="2" t="s">
        <v>267</v>
      </c>
      <c r="B125" s="2" t="s">
        <v>268</v>
      </c>
      <c r="C125" s="2" t="s">
        <v>34</v>
      </c>
      <c r="D125" s="3">
        <v>46145.301354166666</v>
      </c>
      <c r="E125" s="3">
        <v>46145.312465277777</v>
      </c>
      <c r="F125" s="9">
        <f>IF($K125="cancelled"," ",(quick_commerce_orders[[#This Row],[delivery_time]]-quick_commerce_orders[[#This Row],[order_time]])*1440)</f>
        <v>15.999999999767169</v>
      </c>
      <c r="G125" s="2">
        <v>411.9</v>
      </c>
      <c r="H125" s="2" t="str">
        <f>IF(quick_commerce_orders[[#This Row],[order_value]]&lt;500,"Low",IF(quick_commerce_orders[[#This Row],[order_value]]&gt;1500,"High","Moderate"))</f>
        <v>Low</v>
      </c>
      <c r="I1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25" s="2" t="s">
        <v>39</v>
      </c>
      <c r="K125" s="2" t="s">
        <v>16</v>
      </c>
    </row>
    <row r="126" spans="1:11" x14ac:dyDescent="0.2">
      <c r="A126" s="2" t="s">
        <v>269</v>
      </c>
      <c r="B126" s="2" t="s">
        <v>270</v>
      </c>
      <c r="C126" s="2" t="s">
        <v>75</v>
      </c>
      <c r="D126" s="3">
        <v>46173.335405092592</v>
      </c>
      <c r="E126" s="3">
        <v>46173.345821759256</v>
      </c>
      <c r="F126" s="9">
        <f>IF($K126="cancelled"," ",(quick_commerce_orders[[#This Row],[delivery_time]]-quick_commerce_orders[[#This Row],[order_time]])*1440)</f>
        <v>14.99999999650754</v>
      </c>
      <c r="G126" s="2">
        <v>422.69</v>
      </c>
      <c r="H126" s="2" t="str">
        <f>IF(quick_commerce_orders[[#This Row],[order_value]]&lt;500,"Low",IF(quick_commerce_orders[[#This Row],[order_value]]&gt;1500,"High","Moderate"))</f>
        <v>Low</v>
      </c>
      <c r="I1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26" s="2" t="s">
        <v>15</v>
      </c>
      <c r="K126" s="2" t="s">
        <v>16</v>
      </c>
    </row>
    <row r="127" spans="1:11" x14ac:dyDescent="0.2">
      <c r="A127" s="2" t="s">
        <v>271</v>
      </c>
      <c r="B127" s="2" t="s">
        <v>272</v>
      </c>
      <c r="C127" s="2" t="s">
        <v>31</v>
      </c>
      <c r="D127" s="3">
        <v>46147.916168981479</v>
      </c>
      <c r="E127" s="3">
        <v>46147.933530092596</v>
      </c>
      <c r="F127" s="9">
        <f>IF($K127="cancelled"," ",(quick_commerce_orders[[#This Row],[delivery_time]]-quick_commerce_orders[[#This Row],[order_time]])*1440)</f>
        <v>25.000000008149073</v>
      </c>
      <c r="G127" s="2">
        <v>1441.31</v>
      </c>
      <c r="H127" s="2" t="str">
        <f>IF(quick_commerce_orders[[#This Row],[order_value]]&lt;500,"Low",IF(quick_commerce_orders[[#This Row],[order_value]]&gt;1500,"High","Moderate"))</f>
        <v>Moderate</v>
      </c>
      <c r="I1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7" s="2" t="s">
        <v>39</v>
      </c>
      <c r="K127" s="2" t="s">
        <v>12</v>
      </c>
    </row>
    <row r="128" spans="1:11" x14ac:dyDescent="0.2">
      <c r="A128" s="2" t="s">
        <v>273</v>
      </c>
      <c r="B128" s="2" t="s">
        <v>274</v>
      </c>
      <c r="C128" s="2" t="s">
        <v>53</v>
      </c>
      <c r="D128" s="3">
        <v>46145.249930555554</v>
      </c>
      <c r="E128" s="3">
        <v>46145.259652777779</v>
      </c>
      <c r="F128" s="9">
        <f>IF($K128="cancelled"," ",(quick_commerce_orders[[#This Row],[delivery_time]]-quick_commerce_orders[[#This Row],[order_time]])*1440)</f>
        <v>14.00000000372529</v>
      </c>
      <c r="G128" s="2">
        <v>1269.8699999999999</v>
      </c>
      <c r="H128" s="2" t="str">
        <f>IF(quick_commerce_orders[[#This Row],[order_value]]&lt;500,"Low",IF(quick_commerce_orders[[#This Row],[order_value]]&gt;1500,"High","Moderate"))</f>
        <v>Moderate</v>
      </c>
      <c r="I1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28" s="2" t="s">
        <v>15</v>
      </c>
      <c r="K128" s="2" t="s">
        <v>16</v>
      </c>
    </row>
    <row r="129" spans="1:11" x14ac:dyDescent="0.2">
      <c r="A129" s="2" t="s">
        <v>275</v>
      </c>
      <c r="B129" s="2" t="s">
        <v>276</v>
      </c>
      <c r="C129" s="2" t="s">
        <v>34</v>
      </c>
      <c r="D129" s="3">
        <v>46163.009456018517</v>
      </c>
      <c r="E129" s="3">
        <v>46163.021956018521</v>
      </c>
      <c r="F129" s="9">
        <f>IF($K129="cancelled"," ",(quick_commerce_orders[[#This Row],[delivery_time]]-quick_commerce_orders[[#This Row],[order_time]])*1440)</f>
        <v>18.000000006286427</v>
      </c>
      <c r="G129" s="2">
        <v>1664.4</v>
      </c>
      <c r="H129" s="2" t="str">
        <f>IF(quick_commerce_orders[[#This Row],[order_value]]&lt;500,"Low",IF(quick_commerce_orders[[#This Row],[order_value]]&gt;1500,"High","Moderate"))</f>
        <v>High</v>
      </c>
      <c r="I1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29" s="2" t="s">
        <v>80</v>
      </c>
      <c r="K129" s="2" t="s">
        <v>16</v>
      </c>
    </row>
    <row r="130" spans="1:11" x14ac:dyDescent="0.2">
      <c r="A130" s="2" t="s">
        <v>277</v>
      </c>
      <c r="B130" s="2" t="s">
        <v>278</v>
      </c>
      <c r="C130" s="2" t="s">
        <v>53</v>
      </c>
      <c r="D130" s="3">
        <v>46152.953067129631</v>
      </c>
      <c r="E130" s="3">
        <v>46152.965567129628</v>
      </c>
      <c r="F130" s="9">
        <f>IF($K130="cancelled"," ",(quick_commerce_orders[[#This Row],[delivery_time]]-quick_commerce_orders[[#This Row],[order_time]])*1440)</f>
        <v>17.999999995809048</v>
      </c>
      <c r="G130" s="2">
        <v>569.64</v>
      </c>
      <c r="H130" s="2" t="str">
        <f>IF(quick_commerce_orders[[#This Row],[order_value]]&lt;500,"Low",IF(quick_commerce_orders[[#This Row],[order_value]]&gt;1500,"High","Moderate"))</f>
        <v>Moderate</v>
      </c>
      <c r="I1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30" s="2" t="s">
        <v>15</v>
      </c>
      <c r="K130" s="2" t="s">
        <v>16</v>
      </c>
    </row>
    <row r="131" spans="1:11" x14ac:dyDescent="0.2">
      <c r="A131" s="2" t="s">
        <v>279</v>
      </c>
      <c r="B131" s="2" t="s">
        <v>280</v>
      </c>
      <c r="C131" s="2" t="s">
        <v>42</v>
      </c>
      <c r="D131" s="3">
        <v>46147.382361111115</v>
      </c>
      <c r="E131" s="3">
        <v>46147.394861111112</v>
      </c>
      <c r="F131" s="9">
        <f>IF($K131="cancelled"," ",(quick_commerce_orders[[#This Row],[delivery_time]]-quick_commerce_orders[[#This Row],[order_time]])*1440)</f>
        <v>17.999999995809048</v>
      </c>
      <c r="G131" s="2">
        <v>1577.39</v>
      </c>
      <c r="H131" s="2" t="str">
        <f>IF(quick_commerce_orders[[#This Row],[order_value]]&lt;500,"Low",IF(quick_commerce_orders[[#This Row],[order_value]]&gt;1500,"High","Moderate"))</f>
        <v>High</v>
      </c>
      <c r="I1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31" s="2" t="s">
        <v>15</v>
      </c>
      <c r="K131" s="2" t="s">
        <v>16</v>
      </c>
    </row>
    <row r="132" spans="1:11" x14ac:dyDescent="0.2">
      <c r="A132" s="2" t="s">
        <v>281</v>
      </c>
      <c r="B132" s="2" t="s">
        <v>282</v>
      </c>
      <c r="C132" s="2" t="s">
        <v>10</v>
      </c>
      <c r="D132" s="3">
        <v>46158.787430555552</v>
      </c>
      <c r="E132" s="3">
        <v>46158.792986111112</v>
      </c>
      <c r="F132" s="9">
        <f>IF($K132="cancelled"," ",(quick_commerce_orders[[#This Row],[delivery_time]]-quick_commerce_orders[[#This Row],[order_time]])*1440)</f>
        <v>8.0000000051222742</v>
      </c>
      <c r="G132" s="2">
        <v>1864.6</v>
      </c>
      <c r="H132" s="2" t="str">
        <f>IF(quick_commerce_orders[[#This Row],[order_value]]&lt;500,"Low",IF(quick_commerce_orders[[#This Row],[order_value]]&gt;1500,"High","Moderate"))</f>
        <v>High</v>
      </c>
      <c r="I1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32" s="2" t="s">
        <v>28</v>
      </c>
      <c r="K132" s="2" t="s">
        <v>16</v>
      </c>
    </row>
    <row r="133" spans="1:11" x14ac:dyDescent="0.2">
      <c r="A133" s="2" t="s">
        <v>283</v>
      </c>
      <c r="B133" s="2" t="s">
        <v>284</v>
      </c>
      <c r="C133" s="2" t="s">
        <v>19</v>
      </c>
      <c r="D133" s="3">
        <v>46167.914976851855</v>
      </c>
      <c r="E133" s="3">
        <v>46167.924004629633</v>
      </c>
      <c r="F133" s="9">
        <f>IF($K133="cancelled"," ",(quick_commerce_orders[[#This Row],[delivery_time]]-quick_commerce_orders[[#This Row],[order_time]])*1440)</f>
        <v>13.000000000465661</v>
      </c>
      <c r="G133" s="2">
        <v>689.99</v>
      </c>
      <c r="H133" s="2" t="str">
        <f>IF(quick_commerce_orders[[#This Row],[order_value]]&lt;500,"Low",IF(quick_commerce_orders[[#This Row],[order_value]]&gt;1500,"High","Moderate"))</f>
        <v>Moderate</v>
      </c>
      <c r="I1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33" s="2" t="s">
        <v>20</v>
      </c>
      <c r="K133" s="2" t="s">
        <v>16</v>
      </c>
    </row>
    <row r="134" spans="1:11" x14ac:dyDescent="0.2">
      <c r="A134" s="2" t="s">
        <v>285</v>
      </c>
      <c r="B134" s="2" t="s">
        <v>286</v>
      </c>
      <c r="C134" s="2" t="s">
        <v>31</v>
      </c>
      <c r="D134" s="3">
        <v>46164.533877314818</v>
      </c>
      <c r="E134" s="3">
        <v>46164.543599537035</v>
      </c>
      <c r="F134" s="9">
        <f>IF($K134="cancelled"," ",(quick_commerce_orders[[#This Row],[delivery_time]]-quick_commerce_orders[[#This Row],[order_time]])*1440)</f>
        <v>13.999999993247911</v>
      </c>
      <c r="G134" s="2">
        <v>270.95</v>
      </c>
      <c r="H134" s="2" t="str">
        <f>IF(quick_commerce_orders[[#This Row],[order_value]]&lt;500,"Low",IF(quick_commerce_orders[[#This Row],[order_value]]&gt;1500,"High","Moderate"))</f>
        <v>Low</v>
      </c>
      <c r="I1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34" s="2" t="s">
        <v>11</v>
      </c>
      <c r="K134" s="2" t="s">
        <v>16</v>
      </c>
    </row>
    <row r="135" spans="1:11" x14ac:dyDescent="0.2">
      <c r="A135" s="2" t="s">
        <v>287</v>
      </c>
      <c r="B135" s="2" t="s">
        <v>288</v>
      </c>
      <c r="C135" s="2" t="s">
        <v>53</v>
      </c>
      <c r="D135" s="3">
        <v>46151.94866898148</v>
      </c>
      <c r="E135" s="3">
        <v>46151.984085648146</v>
      </c>
      <c r="F135" s="9">
        <f>IF($K135="cancelled"," ",(quick_commerce_orders[[#This Row],[delivery_time]]-quick_commerce_orders[[#This Row],[order_time]])*1440)</f>
        <v>50.999999998603016</v>
      </c>
      <c r="G135" s="2">
        <v>1963.25</v>
      </c>
      <c r="H135" s="2" t="str">
        <f>IF(quick_commerce_orders[[#This Row],[order_value]]&lt;500,"Low",IF(quick_commerce_orders[[#This Row],[order_value]]&gt;1500,"High","Moderate"))</f>
        <v>High</v>
      </c>
      <c r="I1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35" s="2" t="s">
        <v>11</v>
      </c>
      <c r="K135" s="2" t="s">
        <v>12</v>
      </c>
    </row>
    <row r="136" spans="1:11" x14ac:dyDescent="0.2">
      <c r="A136" s="2" t="s">
        <v>289</v>
      </c>
      <c r="B136" s="2" t="s">
        <v>290</v>
      </c>
      <c r="C136" s="2" t="s">
        <v>19</v>
      </c>
      <c r="D136" s="3">
        <v>46165.04614583333</v>
      </c>
      <c r="E136" s="3">
        <v>46165.054479166669</v>
      </c>
      <c r="F136" s="9">
        <f>IF($K136="cancelled"," ",(quick_commerce_orders[[#This Row],[delivery_time]]-quick_commerce_orders[[#This Row],[order_time]])*1440)</f>
        <v>12.000000007683411</v>
      </c>
      <c r="G136" s="2">
        <v>875.19</v>
      </c>
      <c r="H136" s="2" t="str">
        <f>IF(quick_commerce_orders[[#This Row],[order_value]]&lt;500,"Low",IF(quick_commerce_orders[[#This Row],[order_value]]&gt;1500,"High","Moderate"))</f>
        <v>Moderate</v>
      </c>
      <c r="I1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36" s="2" t="s">
        <v>28</v>
      </c>
      <c r="K136" s="2" t="s">
        <v>16</v>
      </c>
    </row>
    <row r="137" spans="1:11" x14ac:dyDescent="0.2">
      <c r="A137" s="2" t="s">
        <v>291</v>
      </c>
      <c r="B137" s="2" t="s">
        <v>292</v>
      </c>
      <c r="C137" s="2" t="s">
        <v>27</v>
      </c>
      <c r="D137" s="3">
        <v>46157.098356481481</v>
      </c>
      <c r="E137" s="3">
        <v>46157.10460648148</v>
      </c>
      <c r="F137" s="9">
        <f>IF($K137="cancelled"," ",(quick_commerce_orders[[#This Row],[delivery_time]]-quick_commerce_orders[[#This Row],[order_time]])*1440)</f>
        <v>8.9999999979045242</v>
      </c>
      <c r="G137" s="2">
        <v>2316.9299999999998</v>
      </c>
      <c r="H137" s="2" t="str">
        <f>IF(quick_commerce_orders[[#This Row],[order_value]]&lt;500,"Low",IF(quick_commerce_orders[[#This Row],[order_value]]&gt;1500,"High","Moderate"))</f>
        <v>High</v>
      </c>
      <c r="I1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37" s="2" t="s">
        <v>80</v>
      </c>
      <c r="K137" s="2" t="s">
        <v>16</v>
      </c>
    </row>
    <row r="138" spans="1:11" x14ac:dyDescent="0.2">
      <c r="A138" s="2" t="s">
        <v>293</v>
      </c>
      <c r="B138" s="2" t="s">
        <v>294</v>
      </c>
      <c r="C138" s="2" t="s">
        <v>75</v>
      </c>
      <c r="D138" s="3">
        <v>46168.417824074073</v>
      </c>
      <c r="E138" s="3">
        <v>46168.430324074077</v>
      </c>
      <c r="F138" s="9">
        <f>IF($K138="cancelled"," ",(quick_commerce_orders[[#This Row],[delivery_time]]-quick_commerce_orders[[#This Row],[order_time]])*1440)</f>
        <v>18.000000006286427</v>
      </c>
      <c r="G138" s="2">
        <v>314.02999999999997</v>
      </c>
      <c r="H138" s="2" t="str">
        <f>IF(quick_commerce_orders[[#This Row],[order_value]]&lt;500,"Low",IF(quick_commerce_orders[[#This Row],[order_value]]&gt;1500,"High","Moderate"))</f>
        <v>Low</v>
      </c>
      <c r="I1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38" s="2" t="s">
        <v>39</v>
      </c>
      <c r="K138" s="2" t="s">
        <v>16</v>
      </c>
    </row>
    <row r="139" spans="1:11" x14ac:dyDescent="0.2">
      <c r="A139" s="2" t="s">
        <v>295</v>
      </c>
      <c r="B139" s="2" t="s">
        <v>296</v>
      </c>
      <c r="C139" s="2" t="s">
        <v>53</v>
      </c>
      <c r="D139" s="3">
        <v>46160.605023148149</v>
      </c>
      <c r="E139" s="3">
        <v>46160.61613425926</v>
      </c>
      <c r="F139" s="9">
        <f>IF($K139="cancelled"," ",(quick_commerce_orders[[#This Row],[delivery_time]]-quick_commerce_orders[[#This Row],[order_time]])*1440)</f>
        <v>15.999999999767169</v>
      </c>
      <c r="G139" s="2">
        <v>1711.19</v>
      </c>
      <c r="H139" s="2" t="str">
        <f>IF(quick_commerce_orders[[#This Row],[order_value]]&lt;500,"Low",IF(quick_commerce_orders[[#This Row],[order_value]]&gt;1500,"High","Moderate"))</f>
        <v>High</v>
      </c>
      <c r="I1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39" s="2" t="s">
        <v>28</v>
      </c>
      <c r="K139" s="2" t="s">
        <v>16</v>
      </c>
    </row>
    <row r="140" spans="1:11" x14ac:dyDescent="0.2">
      <c r="A140" s="2" t="s">
        <v>297</v>
      </c>
      <c r="B140" s="2" t="s">
        <v>298</v>
      </c>
      <c r="C140" s="2" t="s">
        <v>34</v>
      </c>
      <c r="D140" s="3">
        <v>46165.725312499999</v>
      </c>
      <c r="E140" s="3">
        <v>46165.735729166663</v>
      </c>
      <c r="F140" s="9">
        <f>IF($K140="cancelled"," ",(quick_commerce_orders[[#This Row],[delivery_time]]-quick_commerce_orders[[#This Row],[order_time]])*1440)</f>
        <v>14.99999999650754</v>
      </c>
      <c r="G140" s="2">
        <v>1115.5</v>
      </c>
      <c r="H140" s="2" t="str">
        <f>IF(quick_commerce_orders[[#This Row],[order_value]]&lt;500,"Low",IF(quick_commerce_orders[[#This Row],[order_value]]&gt;1500,"High","Moderate"))</f>
        <v>Moderate</v>
      </c>
      <c r="I1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0" s="2" t="s">
        <v>39</v>
      </c>
      <c r="K140" s="2" t="s">
        <v>16</v>
      </c>
    </row>
    <row r="141" spans="1:11" x14ac:dyDescent="0.2">
      <c r="A141" s="2" t="s">
        <v>299</v>
      </c>
      <c r="B141" s="2" t="s">
        <v>300</v>
      </c>
      <c r="C141" s="2" t="s">
        <v>31</v>
      </c>
      <c r="D141" s="3">
        <v>46154.901180555556</v>
      </c>
      <c r="E141" s="3">
        <v>46154.911597222221</v>
      </c>
      <c r="F141" s="9">
        <f>IF($K141="cancelled"," ",(quick_commerce_orders[[#This Row],[delivery_time]]-quick_commerce_orders[[#This Row],[order_time]])*1440)</f>
        <v>14.99999999650754</v>
      </c>
      <c r="G141" s="2">
        <v>934.94</v>
      </c>
      <c r="H141" s="2" t="str">
        <f>IF(quick_commerce_orders[[#This Row],[order_value]]&lt;500,"Low",IF(quick_commerce_orders[[#This Row],[order_value]]&gt;1500,"High","Moderate"))</f>
        <v>Moderate</v>
      </c>
      <c r="I1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1" s="2" t="s">
        <v>28</v>
      </c>
      <c r="K141" s="2" t="s">
        <v>16</v>
      </c>
    </row>
    <row r="142" spans="1:11" x14ac:dyDescent="0.2">
      <c r="A142" s="2" t="s">
        <v>301</v>
      </c>
      <c r="B142" s="2" t="s">
        <v>302</v>
      </c>
      <c r="C142" s="2" t="s">
        <v>75</v>
      </c>
      <c r="D142" s="3">
        <v>46167.117812500001</v>
      </c>
      <c r="E142" s="3">
        <v>46167.126840277779</v>
      </c>
      <c r="F142" s="9">
        <f>IF($K142="cancelled"," ",(quick_commerce_orders[[#This Row],[delivery_time]]-quick_commerce_orders[[#This Row],[order_time]])*1440)</f>
        <v>13.000000000465661</v>
      </c>
      <c r="G142" s="2">
        <v>868.77</v>
      </c>
      <c r="H142" s="2" t="str">
        <f>IF(quick_commerce_orders[[#This Row],[order_value]]&lt;500,"Low",IF(quick_commerce_orders[[#This Row],[order_value]]&gt;1500,"High","Moderate"))</f>
        <v>Moderate</v>
      </c>
      <c r="I1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42" s="2" t="s">
        <v>11</v>
      </c>
      <c r="K142" s="2" t="s">
        <v>16</v>
      </c>
    </row>
    <row r="143" spans="1:11" x14ac:dyDescent="0.2">
      <c r="A143" s="2" t="s">
        <v>303</v>
      </c>
      <c r="B143" s="2" t="s">
        <v>304</v>
      </c>
      <c r="C143" s="2" t="s">
        <v>19</v>
      </c>
      <c r="D143" s="3">
        <v>46161.322962962964</v>
      </c>
      <c r="E143" s="3">
        <v>46161.334074074075</v>
      </c>
      <c r="F143" s="9">
        <f>IF($K143="cancelled"," ",(quick_commerce_orders[[#This Row],[delivery_time]]-quick_commerce_orders[[#This Row],[order_time]])*1440)</f>
        <v>15.999999999767169</v>
      </c>
      <c r="G143" s="2">
        <v>1524.31</v>
      </c>
      <c r="H143" s="2" t="str">
        <f>IF(quick_commerce_orders[[#This Row],[order_value]]&lt;500,"Low",IF(quick_commerce_orders[[#This Row],[order_value]]&gt;1500,"High","Moderate"))</f>
        <v>High</v>
      </c>
      <c r="I1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43" s="2" t="s">
        <v>20</v>
      </c>
      <c r="K143" s="2" t="s">
        <v>16</v>
      </c>
    </row>
    <row r="144" spans="1:11" x14ac:dyDescent="0.2">
      <c r="A144" s="2" t="s">
        <v>305</v>
      </c>
      <c r="B144" s="2" t="s">
        <v>306</v>
      </c>
      <c r="C144" s="2" t="s">
        <v>31</v>
      </c>
      <c r="D144" s="3">
        <v>46148.339861111112</v>
      </c>
      <c r="E144" s="3">
        <v>46148.358611111114</v>
      </c>
      <c r="F144" s="9">
        <f>IF($K144="cancelled"," ",(quick_commerce_orders[[#This Row],[delivery_time]]-quick_commerce_orders[[#This Row],[order_time]])*1440)</f>
        <v>27.000000004190952</v>
      </c>
      <c r="G144" s="2">
        <v>157.1</v>
      </c>
      <c r="H144" s="2" t="str">
        <f>IF(quick_commerce_orders[[#This Row],[order_value]]&lt;500,"Low",IF(quick_commerce_orders[[#This Row],[order_value]]&gt;1500,"High","Moderate"))</f>
        <v>Low</v>
      </c>
      <c r="I1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44" s="2" t="s">
        <v>20</v>
      </c>
      <c r="K144" s="2" t="s">
        <v>12</v>
      </c>
    </row>
    <row r="145" spans="1:11" x14ac:dyDescent="0.2">
      <c r="A145" s="2" t="s">
        <v>307</v>
      </c>
      <c r="B145" s="2" t="s">
        <v>308</v>
      </c>
      <c r="C145" s="2" t="s">
        <v>53</v>
      </c>
      <c r="D145" s="3">
        <v>46152.975231481483</v>
      </c>
      <c r="E145" s="3">
        <v>46152.988425925927</v>
      </c>
      <c r="F145" s="9">
        <f>IF($K145="cancelled"," ",(quick_commerce_orders[[#This Row],[delivery_time]]-quick_commerce_orders[[#This Row],[order_time]])*1440)</f>
        <v>18.999999999068677</v>
      </c>
      <c r="G145" s="2">
        <v>830.57</v>
      </c>
      <c r="H145" s="2" t="str">
        <f>IF(quick_commerce_orders[[#This Row],[order_value]]&lt;500,"Low",IF(quick_commerce_orders[[#This Row],[order_value]]&gt;1500,"High","Moderate"))</f>
        <v>Moderate</v>
      </c>
      <c r="I1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5" s="2" t="s">
        <v>28</v>
      </c>
      <c r="K145" s="2" t="s">
        <v>16</v>
      </c>
    </row>
    <row r="146" spans="1:11" x14ac:dyDescent="0.2">
      <c r="A146" s="2" t="s">
        <v>309</v>
      </c>
      <c r="B146" s="2" t="s">
        <v>310</v>
      </c>
      <c r="C146" s="2" t="s">
        <v>10</v>
      </c>
      <c r="D146" s="3">
        <v>46166.128472222219</v>
      </c>
      <c r="E146" s="3">
        <v>46166.136111111111</v>
      </c>
      <c r="F146" s="9">
        <f>IF($K146="cancelled"," ",(quick_commerce_orders[[#This Row],[delivery_time]]-quick_commerce_orders[[#This Row],[order_time]])*1440)</f>
        <v>11.000000004423782</v>
      </c>
      <c r="G146" s="2">
        <v>2469.36</v>
      </c>
      <c r="H146" s="2" t="str">
        <f>IF(quick_commerce_orders[[#This Row],[order_value]]&lt;500,"Low",IF(quick_commerce_orders[[#This Row],[order_value]]&gt;1500,"High","Moderate"))</f>
        <v>High</v>
      </c>
      <c r="I1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46" s="2" t="s">
        <v>28</v>
      </c>
      <c r="K146" s="2" t="s">
        <v>16</v>
      </c>
    </row>
    <row r="147" spans="1:11" x14ac:dyDescent="0.2">
      <c r="A147" s="2" t="s">
        <v>311</v>
      </c>
      <c r="B147" s="2" t="s">
        <v>312</v>
      </c>
      <c r="C147" s="2" t="s">
        <v>34</v>
      </c>
      <c r="D147" s="3">
        <v>46162.599861111114</v>
      </c>
      <c r="E147" s="3">
        <v>46162.619305555556</v>
      </c>
      <c r="F147" s="9">
        <f>IF($K147="cancelled"," ",(quick_commerce_orders[[#This Row],[delivery_time]]-quick_commerce_orders[[#This Row],[order_time]])*1440)</f>
        <v>27.999999996973202</v>
      </c>
      <c r="G147" s="2">
        <v>1577.93</v>
      </c>
      <c r="H147" s="2" t="str">
        <f>IF(quick_commerce_orders[[#This Row],[order_value]]&lt;500,"Low",IF(quick_commerce_orders[[#This Row],[order_value]]&gt;1500,"High","Moderate"))</f>
        <v>High</v>
      </c>
      <c r="I1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7" s="2" t="s">
        <v>11</v>
      </c>
      <c r="K147" s="2" t="s">
        <v>12</v>
      </c>
    </row>
    <row r="148" spans="1:11" x14ac:dyDescent="0.2">
      <c r="A148" s="2" t="s">
        <v>313</v>
      </c>
      <c r="B148" s="2" t="s">
        <v>314</v>
      </c>
      <c r="C148" s="2" t="s">
        <v>27</v>
      </c>
      <c r="D148" s="3">
        <v>46160.130613425928</v>
      </c>
      <c r="E148" s="3"/>
      <c r="F148" s="9" t="str">
        <f>IF($K148="cancelled"," ",(quick_commerce_orders[[#This Row],[delivery_time]]-quick_commerce_orders[[#This Row],[order_time]])*1440)</f>
        <v xml:space="preserve"> </v>
      </c>
      <c r="G148" s="2">
        <v>2475.38</v>
      </c>
      <c r="H148" s="2" t="str">
        <f>IF(quick_commerce_orders[[#This Row],[order_value]]&lt;500,"Low",IF(quick_commerce_orders[[#This Row],[order_value]]&gt;1500,"High","Moderate"))</f>
        <v>High</v>
      </c>
      <c r="I1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8" s="2" t="s">
        <v>39</v>
      </c>
      <c r="K148" s="2" t="s">
        <v>58</v>
      </c>
    </row>
    <row r="149" spans="1:11" x14ac:dyDescent="0.2">
      <c r="A149" s="2" t="s">
        <v>315</v>
      </c>
      <c r="B149" s="2" t="s">
        <v>316</v>
      </c>
      <c r="C149" s="2" t="s">
        <v>31</v>
      </c>
      <c r="D149" s="3">
        <v>46154.561516203707</v>
      </c>
      <c r="E149" s="3">
        <v>46154.569849537038</v>
      </c>
      <c r="F149" s="9">
        <f>IF($K149="cancelled"," ",(quick_commerce_orders[[#This Row],[delivery_time]]-quick_commerce_orders[[#This Row],[order_time]])*1440)</f>
        <v>11.999999997206032</v>
      </c>
      <c r="G149" s="2">
        <v>1160.3</v>
      </c>
      <c r="H149" s="2" t="str">
        <f>IF(quick_commerce_orders[[#This Row],[order_value]]&lt;500,"Low",IF(quick_commerce_orders[[#This Row],[order_value]]&gt;1500,"High","Moderate"))</f>
        <v>Moderate</v>
      </c>
      <c r="I1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49" s="2" t="s">
        <v>39</v>
      </c>
      <c r="K149" s="2" t="s">
        <v>16</v>
      </c>
    </row>
    <row r="150" spans="1:11" x14ac:dyDescent="0.2">
      <c r="A150" s="2" t="s">
        <v>317</v>
      </c>
      <c r="B150" s="2" t="s">
        <v>318</v>
      </c>
      <c r="C150" s="2" t="s">
        <v>10</v>
      </c>
      <c r="D150" s="3">
        <v>46169.125752314816</v>
      </c>
      <c r="E150" s="3">
        <v>46169.135474537034</v>
      </c>
      <c r="F150" s="9">
        <f>IF($K150="cancelled"," ",(quick_commerce_orders[[#This Row],[delivery_time]]-quick_commerce_orders[[#This Row],[order_time]])*1440)</f>
        <v>13.999999993247911</v>
      </c>
      <c r="G150" s="2">
        <v>448.96</v>
      </c>
      <c r="H150" s="2" t="str">
        <f>IF(quick_commerce_orders[[#This Row],[order_value]]&lt;500,"Low",IF(quick_commerce_orders[[#This Row],[order_value]]&gt;1500,"High","Moderate"))</f>
        <v>Low</v>
      </c>
      <c r="I1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50" s="2" t="s">
        <v>11</v>
      </c>
      <c r="K150" s="2" t="s">
        <v>16</v>
      </c>
    </row>
    <row r="151" spans="1:11" x14ac:dyDescent="0.2">
      <c r="A151" s="2" t="s">
        <v>319</v>
      </c>
      <c r="B151" s="2" t="s">
        <v>320</v>
      </c>
      <c r="C151" s="2" t="s">
        <v>53</v>
      </c>
      <c r="D151" s="3">
        <v>46165.712245370371</v>
      </c>
      <c r="E151" s="3">
        <v>46165.753217592595</v>
      </c>
      <c r="F151" s="9">
        <f>IF($K151="cancelled"," ",(quick_commerce_orders[[#This Row],[delivery_time]]-quick_commerce_orders[[#This Row],[order_time]])*1440)</f>
        <v>59.00000000372529</v>
      </c>
      <c r="G151" s="2">
        <v>206.71</v>
      </c>
      <c r="H151" s="2" t="str">
        <f>IF(quick_commerce_orders[[#This Row],[order_value]]&lt;500,"Low",IF(quick_commerce_orders[[#This Row],[order_value]]&gt;1500,"High","Moderate"))</f>
        <v>Low</v>
      </c>
      <c r="I1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51" s="2" t="s">
        <v>80</v>
      </c>
      <c r="K151" s="2" t="s">
        <v>12</v>
      </c>
    </row>
    <row r="152" spans="1:11" x14ac:dyDescent="0.2">
      <c r="A152" s="2" t="s">
        <v>321</v>
      </c>
      <c r="B152" s="2" t="s">
        <v>322</v>
      </c>
      <c r="C152" s="2" t="s">
        <v>34</v>
      </c>
      <c r="D152" s="3">
        <v>46163.500208333331</v>
      </c>
      <c r="E152" s="3">
        <v>46163.510625000003</v>
      </c>
      <c r="F152" s="9">
        <f>IF($K152="cancelled"," ",(quick_commerce_orders[[#This Row],[delivery_time]]-quick_commerce_orders[[#This Row],[order_time]])*1440)</f>
        <v>15.000000006984919</v>
      </c>
      <c r="G152" s="2">
        <v>2062.61</v>
      </c>
      <c r="H152" s="2" t="str">
        <f>IF(quick_commerce_orders[[#This Row],[order_value]]&lt;500,"Low",IF(quick_commerce_orders[[#This Row],[order_value]]&gt;1500,"High","Moderate"))</f>
        <v>High</v>
      </c>
      <c r="I1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52" s="2" t="s">
        <v>80</v>
      </c>
      <c r="K152" s="2" t="s">
        <v>16</v>
      </c>
    </row>
    <row r="153" spans="1:11" x14ac:dyDescent="0.2">
      <c r="A153" s="2" t="s">
        <v>323</v>
      </c>
      <c r="B153" s="2" t="s">
        <v>324</v>
      </c>
      <c r="C153" s="2" t="s">
        <v>75</v>
      </c>
      <c r="D153" s="3">
        <v>46169.534085648149</v>
      </c>
      <c r="E153" s="3">
        <v>46169.543113425927</v>
      </c>
      <c r="F153" s="9">
        <f>IF($K153="cancelled"," ",(quick_commerce_orders[[#This Row],[delivery_time]]-quick_commerce_orders[[#This Row],[order_time]])*1440)</f>
        <v>13.000000000465661</v>
      </c>
      <c r="G153" s="2">
        <v>578.24</v>
      </c>
      <c r="H153" s="2" t="str">
        <f>IF(quick_commerce_orders[[#This Row],[order_value]]&lt;500,"Low",IF(quick_commerce_orders[[#This Row],[order_value]]&gt;1500,"High","Moderate"))</f>
        <v>Moderate</v>
      </c>
      <c r="I1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53" s="2" t="s">
        <v>28</v>
      </c>
      <c r="K153" s="2" t="s">
        <v>16</v>
      </c>
    </row>
    <row r="154" spans="1:11" x14ac:dyDescent="0.2">
      <c r="A154" s="2" t="s">
        <v>325</v>
      </c>
      <c r="B154" s="2" t="s">
        <v>326</v>
      </c>
      <c r="C154" s="2" t="s">
        <v>19</v>
      </c>
      <c r="D154" s="3">
        <v>46158.773032407407</v>
      </c>
      <c r="E154" s="3">
        <v>46158.790393518517</v>
      </c>
      <c r="F154" s="9">
        <f>IF($K154="cancelled"," ",(quick_commerce_orders[[#This Row],[delivery_time]]-quick_commerce_orders[[#This Row],[order_time]])*1440)</f>
        <v>24.999999997671694</v>
      </c>
      <c r="G154" s="2">
        <v>996.17</v>
      </c>
      <c r="H154" s="2" t="str">
        <f>IF(quick_commerce_orders[[#This Row],[order_value]]&lt;500,"Low",IF(quick_commerce_orders[[#This Row],[order_value]]&gt;1500,"High","Moderate"))</f>
        <v>Moderate</v>
      </c>
      <c r="I1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54" s="2" t="s">
        <v>20</v>
      </c>
      <c r="K154" s="2" t="s">
        <v>12</v>
      </c>
    </row>
    <row r="155" spans="1:11" x14ac:dyDescent="0.2">
      <c r="A155" s="2" t="s">
        <v>327</v>
      </c>
      <c r="B155" s="2" t="s">
        <v>328</v>
      </c>
      <c r="C155" s="2" t="s">
        <v>53</v>
      </c>
      <c r="D155" s="3">
        <v>46167.214085648149</v>
      </c>
      <c r="E155" s="3">
        <v>46167.248807870368</v>
      </c>
      <c r="F155" s="9">
        <f>IF($K155="cancelled"," ",(quick_commerce_orders[[#This Row],[delivery_time]]-quick_commerce_orders[[#This Row],[order_time]])*1440)</f>
        <v>49.999999995343387</v>
      </c>
      <c r="G155" s="2">
        <v>1917.56</v>
      </c>
      <c r="H155" s="2" t="str">
        <f>IF(quick_commerce_orders[[#This Row],[order_value]]&lt;500,"Low",IF(quick_commerce_orders[[#This Row],[order_value]]&gt;1500,"High","Moderate"))</f>
        <v>High</v>
      </c>
      <c r="I1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55" s="2" t="s">
        <v>80</v>
      </c>
      <c r="K155" s="2" t="s">
        <v>12</v>
      </c>
    </row>
    <row r="156" spans="1:11" x14ac:dyDescent="0.2">
      <c r="A156" s="2" t="s">
        <v>329</v>
      </c>
      <c r="B156" s="2" t="s">
        <v>330</v>
      </c>
      <c r="C156" s="2" t="s">
        <v>42</v>
      </c>
      <c r="D156" s="3">
        <v>46162.35496527778</v>
      </c>
      <c r="E156" s="3">
        <v>46162.362604166665</v>
      </c>
      <c r="F156" s="9">
        <f>IF($K156="cancelled"," ",(quick_commerce_orders[[#This Row],[delivery_time]]-quick_commerce_orders[[#This Row],[order_time]])*1440)</f>
        <v>10.999999993946403</v>
      </c>
      <c r="G156" s="2">
        <v>2145.63</v>
      </c>
      <c r="H156" s="2" t="str">
        <f>IF(quick_commerce_orders[[#This Row],[order_value]]&lt;500,"Low",IF(quick_commerce_orders[[#This Row],[order_value]]&gt;1500,"High","Moderate"))</f>
        <v>High</v>
      </c>
      <c r="I1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56" s="2" t="s">
        <v>80</v>
      </c>
      <c r="K156" s="2" t="s">
        <v>16</v>
      </c>
    </row>
    <row r="157" spans="1:11" x14ac:dyDescent="0.2">
      <c r="A157" s="2" t="s">
        <v>331</v>
      </c>
      <c r="B157" s="2" t="s">
        <v>332</v>
      </c>
      <c r="C157" s="2" t="s">
        <v>27</v>
      </c>
      <c r="D157" s="3">
        <v>46147.227280092593</v>
      </c>
      <c r="E157" s="3">
        <v>46147.236307870371</v>
      </c>
      <c r="F157" s="9">
        <f>IF($K157="cancelled"," ",(quick_commerce_orders[[#This Row],[delivery_time]]-quick_commerce_orders[[#This Row],[order_time]])*1440)</f>
        <v>13.000000000465661</v>
      </c>
      <c r="G157" s="2">
        <v>368.69</v>
      </c>
      <c r="H157" s="2" t="str">
        <f>IF(quick_commerce_orders[[#This Row],[order_value]]&lt;500,"Low",IF(quick_commerce_orders[[#This Row],[order_value]]&gt;1500,"High","Moderate"))</f>
        <v>Low</v>
      </c>
      <c r="I1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57" s="2" t="s">
        <v>15</v>
      </c>
      <c r="K157" s="2" t="s">
        <v>16</v>
      </c>
    </row>
    <row r="158" spans="1:11" x14ac:dyDescent="0.2">
      <c r="A158" s="2" t="s">
        <v>333</v>
      </c>
      <c r="B158" s="2" t="s">
        <v>334</v>
      </c>
      <c r="C158" s="2" t="s">
        <v>27</v>
      </c>
      <c r="D158" s="3">
        <v>46169.396412037036</v>
      </c>
      <c r="E158" s="3">
        <v>46169.402662037035</v>
      </c>
      <c r="F158" s="9">
        <f>IF($K158="cancelled"," ",(quick_commerce_orders[[#This Row],[delivery_time]]-quick_commerce_orders[[#This Row],[order_time]])*1440)</f>
        <v>8.9999999979045242</v>
      </c>
      <c r="G158" s="2">
        <v>229.89</v>
      </c>
      <c r="H158" s="2" t="str">
        <f>IF(quick_commerce_orders[[#This Row],[order_value]]&lt;500,"Low",IF(quick_commerce_orders[[#This Row],[order_value]]&gt;1500,"High","Moderate"))</f>
        <v>Low</v>
      </c>
      <c r="I1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58" s="2" t="s">
        <v>20</v>
      </c>
      <c r="K158" s="2" t="s">
        <v>16</v>
      </c>
    </row>
    <row r="159" spans="1:11" x14ac:dyDescent="0.2">
      <c r="A159" s="2" t="s">
        <v>335</v>
      </c>
      <c r="B159" s="2" t="s">
        <v>336</v>
      </c>
      <c r="C159" s="2" t="s">
        <v>75</v>
      </c>
      <c r="D159" s="3">
        <v>46147.469618055555</v>
      </c>
      <c r="E159" s="3">
        <v>46147.481423611112</v>
      </c>
      <c r="F159" s="9">
        <f>IF($K159="cancelled"," ",(quick_commerce_orders[[#This Row],[delivery_time]]-quick_commerce_orders[[#This Row],[order_time]])*1440)</f>
        <v>17.000000003026798</v>
      </c>
      <c r="G159" s="2">
        <v>2376.46</v>
      </c>
      <c r="H159" s="2" t="str">
        <f>IF(quick_commerce_orders[[#This Row],[order_value]]&lt;500,"Low",IF(quick_commerce_orders[[#This Row],[order_value]]&gt;1500,"High","Moderate"))</f>
        <v>High</v>
      </c>
      <c r="I1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59" s="2" t="s">
        <v>39</v>
      </c>
      <c r="K159" s="2" t="s">
        <v>16</v>
      </c>
    </row>
    <row r="160" spans="1:11" x14ac:dyDescent="0.2">
      <c r="A160" s="2" t="s">
        <v>337</v>
      </c>
      <c r="B160" s="2" t="s">
        <v>338</v>
      </c>
      <c r="C160" s="2" t="s">
        <v>34</v>
      </c>
      <c r="D160" s="3">
        <v>46174.818888888891</v>
      </c>
      <c r="E160" s="3"/>
      <c r="F160" s="9" t="str">
        <f>IF($K160="cancelled"," ",(quick_commerce_orders[[#This Row],[delivery_time]]-quick_commerce_orders[[#This Row],[order_time]])*1440)</f>
        <v xml:space="preserve"> </v>
      </c>
      <c r="G160" s="2">
        <v>2323.15</v>
      </c>
      <c r="H160" s="2" t="str">
        <f>IF(quick_commerce_orders[[#This Row],[order_value]]&lt;500,"Low",IF(quick_commerce_orders[[#This Row],[order_value]]&gt;1500,"High","Moderate"))</f>
        <v>High</v>
      </c>
      <c r="I1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0" s="2" t="s">
        <v>39</v>
      </c>
      <c r="K160" s="2" t="s">
        <v>58</v>
      </c>
    </row>
    <row r="161" spans="1:11" x14ac:dyDescent="0.2">
      <c r="A161" s="2" t="s">
        <v>339</v>
      </c>
      <c r="B161" s="2" t="s">
        <v>340</v>
      </c>
      <c r="C161" s="2" t="s">
        <v>53</v>
      </c>
      <c r="D161" s="3">
        <v>46172.13077546296</v>
      </c>
      <c r="E161" s="3">
        <v>46172.14466435185</v>
      </c>
      <c r="F161" s="9">
        <f>IF($K161="cancelled"," ",(quick_commerce_orders[[#This Row],[delivery_time]]-quick_commerce_orders[[#This Row],[order_time]])*1440)</f>
        <v>20.000000002328306</v>
      </c>
      <c r="G161" s="2">
        <v>2184.0100000000002</v>
      </c>
      <c r="H161" s="2" t="str">
        <f>IF(quick_commerce_orders[[#This Row],[order_value]]&lt;500,"Low",IF(quick_commerce_orders[[#This Row],[order_value]]&gt;1500,"High","Moderate"))</f>
        <v>High</v>
      </c>
      <c r="I1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61" s="2" t="s">
        <v>11</v>
      </c>
      <c r="K161" s="2" t="s">
        <v>16</v>
      </c>
    </row>
    <row r="162" spans="1:11" x14ac:dyDescent="0.2">
      <c r="A162" s="2" t="s">
        <v>341</v>
      </c>
      <c r="B162" s="2" t="s">
        <v>342</v>
      </c>
      <c r="C162" s="2" t="s">
        <v>53</v>
      </c>
      <c r="D162" s="3">
        <v>46143.515196759261</v>
      </c>
      <c r="E162" s="3">
        <v>46143.520752314813</v>
      </c>
      <c r="F162" s="9">
        <f>IF($K162="cancelled"," ",(quick_commerce_orders[[#This Row],[delivery_time]]-quick_commerce_orders[[#This Row],[order_time]])*1440)</f>
        <v>7.9999999946448952</v>
      </c>
      <c r="G162" s="2">
        <v>2067.3200000000002</v>
      </c>
      <c r="H162" s="2" t="str">
        <f>IF(quick_commerce_orders[[#This Row],[order_value]]&lt;500,"Low",IF(quick_commerce_orders[[#This Row],[order_value]]&gt;1500,"High","Moderate"))</f>
        <v>High</v>
      </c>
      <c r="I1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2" s="2" t="s">
        <v>39</v>
      </c>
      <c r="K162" s="2" t="s">
        <v>16</v>
      </c>
    </row>
    <row r="163" spans="1:11" x14ac:dyDescent="0.2">
      <c r="A163" s="2" t="s">
        <v>343</v>
      </c>
      <c r="B163" s="2" t="s">
        <v>344</v>
      </c>
      <c r="C163" s="2" t="s">
        <v>10</v>
      </c>
      <c r="D163" s="3">
        <v>46167.436354166668</v>
      </c>
      <c r="E163" s="3">
        <v>46167.449548611112</v>
      </c>
      <c r="F163" s="9">
        <f>IF($K163="cancelled"," ",(quick_commerce_orders[[#This Row],[delivery_time]]-quick_commerce_orders[[#This Row],[order_time]])*1440)</f>
        <v>18.999999999068677</v>
      </c>
      <c r="G163" s="2">
        <v>131.96</v>
      </c>
      <c r="H163" s="2" t="str">
        <f>IF(quick_commerce_orders[[#This Row],[order_value]]&lt;500,"Low",IF(quick_commerce_orders[[#This Row],[order_value]]&gt;1500,"High","Moderate"))</f>
        <v>Low</v>
      </c>
      <c r="I1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63" s="2" t="s">
        <v>15</v>
      </c>
      <c r="K163" s="2" t="s">
        <v>16</v>
      </c>
    </row>
    <row r="164" spans="1:11" x14ac:dyDescent="0.2">
      <c r="A164" s="2" t="s">
        <v>345</v>
      </c>
      <c r="B164" s="2" t="s">
        <v>346</v>
      </c>
      <c r="C164" s="2" t="s">
        <v>42</v>
      </c>
      <c r="D164" s="3">
        <v>46170.859814814816</v>
      </c>
      <c r="E164" s="3">
        <v>46170.8674537037</v>
      </c>
      <c r="F164" s="9">
        <f>IF($K164="cancelled"," ",(quick_commerce_orders[[#This Row],[delivery_time]]-quick_commerce_orders[[#This Row],[order_time]])*1440)</f>
        <v>10.999999993946403</v>
      </c>
      <c r="G164" s="2">
        <v>1764.11</v>
      </c>
      <c r="H164" s="2" t="str">
        <f>IF(quick_commerce_orders[[#This Row],[order_value]]&lt;500,"Low",IF(quick_commerce_orders[[#This Row],[order_value]]&gt;1500,"High","Moderate"))</f>
        <v>High</v>
      </c>
      <c r="I1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4" s="2" t="s">
        <v>28</v>
      </c>
      <c r="K164" s="2" t="s">
        <v>16</v>
      </c>
    </row>
    <row r="165" spans="1:11" x14ac:dyDescent="0.2">
      <c r="A165" s="2" t="s">
        <v>347</v>
      </c>
      <c r="B165" s="2" t="s">
        <v>348</v>
      </c>
      <c r="C165" s="2" t="s">
        <v>19</v>
      </c>
      <c r="D165" s="3">
        <v>46162.443564814814</v>
      </c>
      <c r="E165" s="3"/>
      <c r="F165" s="9" t="str">
        <f>IF($K165="cancelled"," ",(quick_commerce_orders[[#This Row],[delivery_time]]-quick_commerce_orders[[#This Row],[order_time]])*1440)</f>
        <v xml:space="preserve"> </v>
      </c>
      <c r="G165" s="2">
        <v>366.07</v>
      </c>
      <c r="H165" s="2" t="str">
        <f>IF(quick_commerce_orders[[#This Row],[order_value]]&lt;500,"Low",IF(quick_commerce_orders[[#This Row],[order_value]]&gt;1500,"High","Moderate"))</f>
        <v>Low</v>
      </c>
      <c r="I1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5" s="2" t="s">
        <v>28</v>
      </c>
      <c r="K165" s="2" t="s">
        <v>58</v>
      </c>
    </row>
    <row r="166" spans="1:11" x14ac:dyDescent="0.2">
      <c r="A166" s="2" t="s">
        <v>349</v>
      </c>
      <c r="B166" s="2" t="s">
        <v>350</v>
      </c>
      <c r="C166" s="2" t="s">
        <v>34</v>
      </c>
      <c r="D166" s="3">
        <v>46155.639016203706</v>
      </c>
      <c r="E166" s="3">
        <v>46155.65221064815</v>
      </c>
      <c r="F166" s="9">
        <f>IF($K166="cancelled"," ",(quick_commerce_orders[[#This Row],[delivery_time]]-quick_commerce_orders[[#This Row],[order_time]])*1440)</f>
        <v>18.999999999068677</v>
      </c>
      <c r="G166" s="2">
        <v>1179.1500000000001</v>
      </c>
      <c r="H166" s="2" t="str">
        <f>IF(quick_commerce_orders[[#This Row],[order_value]]&lt;500,"Low",IF(quick_commerce_orders[[#This Row],[order_value]]&gt;1500,"High","Moderate"))</f>
        <v>Moderate</v>
      </c>
      <c r="I1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6" s="2" t="s">
        <v>39</v>
      </c>
      <c r="K166" s="2" t="s">
        <v>16</v>
      </c>
    </row>
    <row r="167" spans="1:11" x14ac:dyDescent="0.2">
      <c r="A167" s="2" t="s">
        <v>351</v>
      </c>
      <c r="B167" s="2" t="s">
        <v>352</v>
      </c>
      <c r="C167" s="2" t="s">
        <v>31</v>
      </c>
      <c r="D167" s="3">
        <v>46168.429710648146</v>
      </c>
      <c r="E167" s="3">
        <v>46168.465821759259</v>
      </c>
      <c r="F167" s="9">
        <f>IF($K167="cancelled"," ",(quick_commerce_orders[[#This Row],[delivery_time]]-quick_commerce_orders[[#This Row],[order_time]])*1440)</f>
        <v>52.000000001862645</v>
      </c>
      <c r="G167" s="2">
        <v>153.6</v>
      </c>
      <c r="H167" s="2" t="str">
        <f>IF(quick_commerce_orders[[#This Row],[order_value]]&lt;500,"Low",IF(quick_commerce_orders[[#This Row],[order_value]]&gt;1500,"High","Moderate"))</f>
        <v>Low</v>
      </c>
      <c r="I1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67" s="2" t="s">
        <v>20</v>
      </c>
      <c r="K167" s="2" t="s">
        <v>12</v>
      </c>
    </row>
    <row r="168" spans="1:11" x14ac:dyDescent="0.2">
      <c r="A168" s="2" t="s">
        <v>353</v>
      </c>
      <c r="B168" s="2" t="s">
        <v>354</v>
      </c>
      <c r="C168" s="2" t="s">
        <v>19</v>
      </c>
      <c r="D168" s="3">
        <v>46174.784895833334</v>
      </c>
      <c r="E168" s="3"/>
      <c r="F168" s="9" t="str">
        <f>IF($K168="cancelled"," ",(quick_commerce_orders[[#This Row],[delivery_time]]-quick_commerce_orders[[#This Row],[order_time]])*1440)</f>
        <v xml:space="preserve"> </v>
      </c>
      <c r="G168" s="2">
        <v>600.62</v>
      </c>
      <c r="H168" s="2" t="str">
        <f>IF(quick_commerce_orders[[#This Row],[order_value]]&lt;500,"Low",IF(quick_commerce_orders[[#This Row],[order_value]]&gt;1500,"High","Moderate"))</f>
        <v>Moderate</v>
      </c>
      <c r="I1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8" s="2" t="s">
        <v>15</v>
      </c>
      <c r="K168" s="2" t="s">
        <v>58</v>
      </c>
    </row>
    <row r="169" spans="1:11" x14ac:dyDescent="0.2">
      <c r="A169" s="2" t="s">
        <v>355</v>
      </c>
      <c r="B169" s="2" t="s">
        <v>356</v>
      </c>
      <c r="C169" s="2" t="s">
        <v>42</v>
      </c>
      <c r="D169" s="3">
        <v>46163.512407407405</v>
      </c>
      <c r="E169" s="3"/>
      <c r="F169" s="9" t="str">
        <f>IF($K169="cancelled"," ",(quick_commerce_orders[[#This Row],[delivery_time]]-quick_commerce_orders[[#This Row],[order_time]])*1440)</f>
        <v xml:space="preserve"> </v>
      </c>
      <c r="G169" s="2">
        <v>1390.21</v>
      </c>
      <c r="H169" s="2" t="str">
        <f>IF(quick_commerce_orders[[#This Row],[order_value]]&lt;500,"Low",IF(quick_commerce_orders[[#This Row],[order_value]]&gt;1500,"High","Moderate"))</f>
        <v>Moderate</v>
      </c>
      <c r="I1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69" s="2" t="s">
        <v>39</v>
      </c>
      <c r="K169" s="2" t="s">
        <v>58</v>
      </c>
    </row>
    <row r="170" spans="1:11" x14ac:dyDescent="0.2">
      <c r="A170" s="2" t="s">
        <v>357</v>
      </c>
      <c r="B170" s="2" t="s">
        <v>358</v>
      </c>
      <c r="C170" s="2" t="s">
        <v>19</v>
      </c>
      <c r="D170" s="3">
        <v>46168.463877314818</v>
      </c>
      <c r="E170" s="3">
        <v>46168.470127314817</v>
      </c>
      <c r="F170" s="9">
        <f>IF($K170="cancelled"," ",(quick_commerce_orders[[#This Row],[delivery_time]]-quick_commerce_orders[[#This Row],[order_time]])*1440)</f>
        <v>8.9999999979045242</v>
      </c>
      <c r="G170" s="2">
        <v>588.12</v>
      </c>
      <c r="H170" s="2" t="str">
        <f>IF(quick_commerce_orders[[#This Row],[order_value]]&lt;500,"Low",IF(quick_commerce_orders[[#This Row],[order_value]]&gt;1500,"High","Moderate"))</f>
        <v>Moderate</v>
      </c>
      <c r="I1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70" s="2" t="s">
        <v>39</v>
      </c>
      <c r="K170" s="2" t="s">
        <v>16</v>
      </c>
    </row>
    <row r="171" spans="1:11" x14ac:dyDescent="0.2">
      <c r="A171" s="2" t="s">
        <v>359</v>
      </c>
      <c r="B171" s="2" t="s">
        <v>360</v>
      </c>
      <c r="C171" s="2" t="s">
        <v>53</v>
      </c>
      <c r="D171" s="3">
        <v>46155.773738425924</v>
      </c>
      <c r="E171" s="3">
        <v>46155.801516203705</v>
      </c>
      <c r="F171" s="9">
        <f>IF($K171="cancelled"," ",(quick_commerce_orders[[#This Row],[delivery_time]]-quick_commerce_orders[[#This Row],[order_time]])*1440)</f>
        <v>40.000000004656613</v>
      </c>
      <c r="G171" s="2">
        <v>1354.84</v>
      </c>
      <c r="H171" s="2" t="str">
        <f>IF(quick_commerce_orders[[#This Row],[order_value]]&lt;500,"Low",IF(quick_commerce_orders[[#This Row],[order_value]]&gt;1500,"High","Moderate"))</f>
        <v>Moderate</v>
      </c>
      <c r="I1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1" s="2" t="s">
        <v>28</v>
      </c>
      <c r="K171" s="2" t="s">
        <v>12</v>
      </c>
    </row>
    <row r="172" spans="1:11" x14ac:dyDescent="0.2">
      <c r="A172" s="2" t="s">
        <v>361</v>
      </c>
      <c r="B172" s="2" t="s">
        <v>362</v>
      </c>
      <c r="C172" s="2" t="s">
        <v>34</v>
      </c>
      <c r="D172" s="3">
        <v>46144.978993055556</v>
      </c>
      <c r="E172" s="3">
        <v>46144.986631944441</v>
      </c>
      <c r="F172" s="9">
        <f>IF($K172="cancelled"," ",(quick_commerce_orders[[#This Row],[delivery_time]]-quick_commerce_orders[[#This Row],[order_time]])*1440)</f>
        <v>10.999999993946403</v>
      </c>
      <c r="G172" s="2">
        <v>719.78</v>
      </c>
      <c r="H172" s="2" t="str">
        <f>IF(quick_commerce_orders[[#This Row],[order_value]]&lt;500,"Low",IF(quick_commerce_orders[[#This Row],[order_value]]&gt;1500,"High","Moderate"))</f>
        <v>Moderate</v>
      </c>
      <c r="I1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2" s="2" t="s">
        <v>11</v>
      </c>
      <c r="K172" s="2" t="s">
        <v>16</v>
      </c>
    </row>
    <row r="173" spans="1:11" x14ac:dyDescent="0.2">
      <c r="A173" s="2" t="s">
        <v>363</v>
      </c>
      <c r="B173" s="2" t="s">
        <v>364</v>
      </c>
      <c r="C173" s="2" t="s">
        <v>19</v>
      </c>
      <c r="D173" s="3">
        <v>46156.618958333333</v>
      </c>
      <c r="E173" s="3">
        <v>46156.625902777778</v>
      </c>
      <c r="F173" s="9">
        <f>IF($K173="cancelled"," ",(quick_commerce_orders[[#This Row],[delivery_time]]-quick_commerce_orders[[#This Row],[order_time]])*1440)</f>
        <v>10.000000001164153</v>
      </c>
      <c r="G173" s="2">
        <v>1258.26</v>
      </c>
      <c r="H173" s="2" t="str">
        <f>IF(quick_commerce_orders[[#This Row],[order_value]]&lt;500,"Low",IF(quick_commerce_orders[[#This Row],[order_value]]&gt;1500,"High","Moderate"))</f>
        <v>Moderate</v>
      </c>
      <c r="I1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3" s="2" t="s">
        <v>20</v>
      </c>
      <c r="K173" s="2" t="s">
        <v>16</v>
      </c>
    </row>
    <row r="174" spans="1:11" x14ac:dyDescent="0.2">
      <c r="A174" s="2" t="s">
        <v>365</v>
      </c>
      <c r="B174" s="2" t="s">
        <v>366</v>
      </c>
      <c r="C174" s="2" t="s">
        <v>75</v>
      </c>
      <c r="D174" s="3">
        <v>46147.571886574071</v>
      </c>
      <c r="E174" s="3">
        <v>46147.603831018518</v>
      </c>
      <c r="F174" s="9">
        <f>IF($K174="cancelled"," ",(quick_commerce_orders[[#This Row],[delivery_time]]-quick_commerce_orders[[#This Row],[order_time]])*1440)</f>
        <v>46.000000003259629</v>
      </c>
      <c r="G174" s="2">
        <v>1850.82</v>
      </c>
      <c r="H174" s="2" t="str">
        <f>IF(quick_commerce_orders[[#This Row],[order_value]]&lt;500,"Low",IF(quick_commerce_orders[[#This Row],[order_value]]&gt;1500,"High","Moderate"))</f>
        <v>High</v>
      </c>
      <c r="I1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4" s="2" t="s">
        <v>15</v>
      </c>
      <c r="K174" s="2" t="s">
        <v>12</v>
      </c>
    </row>
    <row r="175" spans="1:11" x14ac:dyDescent="0.2">
      <c r="A175" s="2" t="s">
        <v>367</v>
      </c>
      <c r="B175" s="2" t="s">
        <v>368</v>
      </c>
      <c r="C175" s="2" t="s">
        <v>27</v>
      </c>
      <c r="D175" s="3">
        <v>46151.846701388888</v>
      </c>
      <c r="E175" s="3">
        <v>46151.855034722219</v>
      </c>
      <c r="F175" s="9">
        <f>IF($K175="cancelled"," ",(quick_commerce_orders[[#This Row],[delivery_time]]-quick_commerce_orders[[#This Row],[order_time]])*1440)</f>
        <v>11.999999997206032</v>
      </c>
      <c r="G175" s="2">
        <v>438.23</v>
      </c>
      <c r="H175" s="2" t="str">
        <f>IF(quick_commerce_orders[[#This Row],[order_value]]&lt;500,"Low",IF(quick_commerce_orders[[#This Row],[order_value]]&gt;1500,"High","Moderate"))</f>
        <v>Low</v>
      </c>
      <c r="I1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5" s="2" t="s">
        <v>15</v>
      </c>
      <c r="K175" s="2" t="s">
        <v>16</v>
      </c>
    </row>
    <row r="176" spans="1:11" x14ac:dyDescent="0.2">
      <c r="A176" s="2" t="s">
        <v>369</v>
      </c>
      <c r="B176" s="2" t="s">
        <v>370</v>
      </c>
      <c r="C176" s="2" t="s">
        <v>31</v>
      </c>
      <c r="D176" s="3">
        <v>46159.88177083333</v>
      </c>
      <c r="E176" s="3">
        <v>46159.888020833336</v>
      </c>
      <c r="F176" s="9">
        <f>IF($K176="cancelled"," ",(quick_commerce_orders[[#This Row],[delivery_time]]-quick_commerce_orders[[#This Row],[order_time]])*1440)</f>
        <v>9.0000000083819032</v>
      </c>
      <c r="G176" s="2">
        <v>1776.01</v>
      </c>
      <c r="H176" s="2" t="str">
        <f>IF(quick_commerce_orders[[#This Row],[order_value]]&lt;500,"Low",IF(quick_commerce_orders[[#This Row],[order_value]]&gt;1500,"High","Moderate"))</f>
        <v>High</v>
      </c>
      <c r="I1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6" s="2" t="s">
        <v>80</v>
      </c>
      <c r="K176" s="2" t="s">
        <v>16</v>
      </c>
    </row>
    <row r="177" spans="1:11" x14ac:dyDescent="0.2">
      <c r="A177" s="2" t="s">
        <v>371</v>
      </c>
      <c r="B177" s="2" t="s">
        <v>372</v>
      </c>
      <c r="C177" s="2" t="s">
        <v>10</v>
      </c>
      <c r="D177" s="3">
        <v>46170.503101851849</v>
      </c>
      <c r="E177" s="3">
        <v>46170.515601851854</v>
      </c>
      <c r="F177" s="9">
        <f>IF($K177="cancelled"," ",(quick_commerce_orders[[#This Row],[delivery_time]]-quick_commerce_orders[[#This Row],[order_time]])*1440)</f>
        <v>18.000000006286427</v>
      </c>
      <c r="G177" s="2">
        <v>143.13</v>
      </c>
      <c r="H177" s="2" t="str">
        <f>IF(quick_commerce_orders[[#This Row],[order_value]]&lt;500,"Low",IF(quick_commerce_orders[[#This Row],[order_value]]&gt;1500,"High","Moderate"))</f>
        <v>Low</v>
      </c>
      <c r="I1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7" s="2" t="s">
        <v>20</v>
      </c>
      <c r="K177" s="2" t="s">
        <v>16</v>
      </c>
    </row>
    <row r="178" spans="1:11" x14ac:dyDescent="0.2">
      <c r="A178" s="2" t="s">
        <v>373</v>
      </c>
      <c r="B178" s="2" t="s">
        <v>374</v>
      </c>
      <c r="C178" s="2" t="s">
        <v>34</v>
      </c>
      <c r="D178" s="3">
        <v>46173.767754629633</v>
      </c>
      <c r="E178" s="3">
        <v>46173.78025462963</v>
      </c>
      <c r="F178" s="9">
        <f>IF($K178="cancelled"," ",(quick_commerce_orders[[#This Row],[delivery_time]]-quick_commerce_orders[[#This Row],[order_time]])*1440)</f>
        <v>17.999999995809048</v>
      </c>
      <c r="G178" s="2">
        <v>1498.21</v>
      </c>
      <c r="H178" s="2" t="str">
        <f>IF(quick_commerce_orders[[#This Row],[order_value]]&lt;500,"Low",IF(quick_commerce_orders[[#This Row],[order_value]]&gt;1500,"High","Moderate"))</f>
        <v>Moderate</v>
      </c>
      <c r="I1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8" s="2" t="s">
        <v>28</v>
      </c>
      <c r="K178" s="2" t="s">
        <v>16</v>
      </c>
    </row>
    <row r="179" spans="1:11" x14ac:dyDescent="0.2">
      <c r="A179" s="2" t="s">
        <v>375</v>
      </c>
      <c r="B179" s="2" t="s">
        <v>376</v>
      </c>
      <c r="C179" s="2" t="s">
        <v>34</v>
      </c>
      <c r="D179" s="3">
        <v>46169.710300925923</v>
      </c>
      <c r="E179" s="3">
        <v>46169.716550925928</v>
      </c>
      <c r="F179" s="9">
        <f>IF($K179="cancelled"," ",(quick_commerce_orders[[#This Row],[delivery_time]]-quick_commerce_orders[[#This Row],[order_time]])*1440)</f>
        <v>9.0000000083819032</v>
      </c>
      <c r="G179" s="2">
        <v>1691.47</v>
      </c>
      <c r="H179" s="2" t="str">
        <f>IF(quick_commerce_orders[[#This Row],[order_value]]&lt;500,"Low",IF(quick_commerce_orders[[#This Row],[order_value]]&gt;1500,"High","Moderate"))</f>
        <v>High</v>
      </c>
      <c r="I1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79" s="2" t="s">
        <v>11</v>
      </c>
      <c r="K179" s="2" t="s">
        <v>16</v>
      </c>
    </row>
    <row r="180" spans="1:11" x14ac:dyDescent="0.2">
      <c r="A180" s="2" t="s">
        <v>377</v>
      </c>
      <c r="B180" s="2" t="s">
        <v>378</v>
      </c>
      <c r="C180" s="2" t="s">
        <v>10</v>
      </c>
      <c r="D180" s="3">
        <v>46166.95684027778</v>
      </c>
      <c r="E180" s="3">
        <v>46166.962395833332</v>
      </c>
      <c r="F180" s="9">
        <f>IF($K180="cancelled"," ",(quick_commerce_orders[[#This Row],[delivery_time]]-quick_commerce_orders[[#This Row],[order_time]])*1440)</f>
        <v>7.9999999946448952</v>
      </c>
      <c r="G180" s="2">
        <v>203.36</v>
      </c>
      <c r="H180" s="2" t="str">
        <f>IF(quick_commerce_orders[[#This Row],[order_value]]&lt;500,"Low",IF(quick_commerce_orders[[#This Row],[order_value]]&gt;1500,"High","Moderate"))</f>
        <v>Low</v>
      </c>
      <c r="I1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0" s="2" t="s">
        <v>11</v>
      </c>
      <c r="K180" s="2" t="s">
        <v>16</v>
      </c>
    </row>
    <row r="181" spans="1:11" x14ac:dyDescent="0.2">
      <c r="A181" s="2" t="s">
        <v>379</v>
      </c>
      <c r="B181" s="2" t="s">
        <v>380</v>
      </c>
      <c r="C181" s="2" t="s">
        <v>31</v>
      </c>
      <c r="D181" s="3">
        <v>46148.159201388888</v>
      </c>
      <c r="E181" s="3">
        <v>46148.169618055559</v>
      </c>
      <c r="F181" s="9">
        <f>IF($K181="cancelled"," ",(quick_commerce_orders[[#This Row],[delivery_time]]-quick_commerce_orders[[#This Row],[order_time]])*1440)</f>
        <v>15.000000006984919</v>
      </c>
      <c r="G181" s="2">
        <v>507.77</v>
      </c>
      <c r="H181" s="2" t="str">
        <f>IF(quick_commerce_orders[[#This Row],[order_value]]&lt;500,"Low",IF(quick_commerce_orders[[#This Row],[order_value]]&gt;1500,"High","Moderate"))</f>
        <v>Moderate</v>
      </c>
      <c r="I1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81" s="2" t="s">
        <v>80</v>
      </c>
      <c r="K181" s="2" t="s">
        <v>16</v>
      </c>
    </row>
    <row r="182" spans="1:11" x14ac:dyDescent="0.2">
      <c r="A182" s="2" t="s">
        <v>381</v>
      </c>
      <c r="B182" s="2" t="s">
        <v>382</v>
      </c>
      <c r="C182" s="2" t="s">
        <v>53</v>
      </c>
      <c r="D182" s="3">
        <v>46165.237256944441</v>
      </c>
      <c r="E182" s="3">
        <v>46165.246979166666</v>
      </c>
      <c r="F182" s="9">
        <f>IF($K182="cancelled"," ",(quick_commerce_orders[[#This Row],[delivery_time]]-quick_commerce_orders[[#This Row],[order_time]])*1440)</f>
        <v>14.00000000372529</v>
      </c>
      <c r="G182" s="2">
        <v>780.63</v>
      </c>
      <c r="H182" s="2" t="str">
        <f>IF(quick_commerce_orders[[#This Row],[order_value]]&lt;500,"Low",IF(quick_commerce_orders[[#This Row],[order_value]]&gt;1500,"High","Moderate"))</f>
        <v>Moderate</v>
      </c>
      <c r="I1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82" s="2" t="s">
        <v>28</v>
      </c>
      <c r="K182" s="2" t="s">
        <v>16</v>
      </c>
    </row>
    <row r="183" spans="1:11" x14ac:dyDescent="0.2">
      <c r="A183" s="2" t="s">
        <v>383</v>
      </c>
      <c r="B183" s="2" t="s">
        <v>384</v>
      </c>
      <c r="C183" s="2" t="s">
        <v>31</v>
      </c>
      <c r="D183" s="3">
        <v>46145.778969907406</v>
      </c>
      <c r="E183" s="3"/>
      <c r="F183" s="9" t="str">
        <f>IF($K183="cancelled"," ",(quick_commerce_orders[[#This Row],[delivery_time]]-quick_commerce_orders[[#This Row],[order_time]])*1440)</f>
        <v xml:space="preserve"> </v>
      </c>
      <c r="G183" s="2">
        <v>1993.05</v>
      </c>
      <c r="H183" s="2" t="str">
        <f>IF(quick_commerce_orders[[#This Row],[order_value]]&lt;500,"Low",IF(quick_commerce_orders[[#This Row],[order_value]]&gt;1500,"High","Moderate"))</f>
        <v>High</v>
      </c>
      <c r="I1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3" s="2" t="s">
        <v>39</v>
      </c>
      <c r="K183" s="2" t="s">
        <v>58</v>
      </c>
    </row>
    <row r="184" spans="1:11" x14ac:dyDescent="0.2">
      <c r="A184" s="2" t="s">
        <v>385</v>
      </c>
      <c r="B184" s="2" t="s">
        <v>386</v>
      </c>
      <c r="C184" s="2" t="s">
        <v>31</v>
      </c>
      <c r="D184" s="3">
        <v>46168.451701388891</v>
      </c>
      <c r="E184" s="3">
        <v>46168.465590277781</v>
      </c>
      <c r="F184" s="9">
        <f>IF($K184="cancelled"," ",(quick_commerce_orders[[#This Row],[delivery_time]]-quick_commerce_orders[[#This Row],[order_time]])*1440)</f>
        <v>20.000000002328306</v>
      </c>
      <c r="G184" s="2">
        <v>1582.12</v>
      </c>
      <c r="H184" s="2" t="str">
        <f>IF(quick_commerce_orders[[#This Row],[order_value]]&lt;500,"Low",IF(quick_commerce_orders[[#This Row],[order_value]]&gt;1500,"High","Moderate"))</f>
        <v>High</v>
      </c>
      <c r="I1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84" s="2" t="s">
        <v>80</v>
      </c>
      <c r="K184" s="2" t="s">
        <v>16</v>
      </c>
    </row>
    <row r="185" spans="1:11" x14ac:dyDescent="0.2">
      <c r="A185" s="2" t="s">
        <v>387</v>
      </c>
      <c r="B185" s="2" t="s">
        <v>388</v>
      </c>
      <c r="C185" s="2" t="s">
        <v>27</v>
      </c>
      <c r="D185" s="3">
        <v>46149.004351851851</v>
      </c>
      <c r="E185" s="3">
        <v>46149.00990740741</v>
      </c>
      <c r="F185" s="9">
        <f>IF($K185="cancelled"," ",(quick_commerce_orders[[#This Row],[delivery_time]]-quick_commerce_orders[[#This Row],[order_time]])*1440)</f>
        <v>8.0000000051222742</v>
      </c>
      <c r="G185" s="2">
        <v>226.4</v>
      </c>
      <c r="H185" s="2" t="str">
        <f>IF(quick_commerce_orders[[#This Row],[order_value]]&lt;500,"Low",IF(quick_commerce_orders[[#This Row],[order_value]]&gt;1500,"High","Moderate"))</f>
        <v>Low</v>
      </c>
      <c r="I1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5" s="2" t="s">
        <v>28</v>
      </c>
      <c r="K185" s="2" t="s">
        <v>16</v>
      </c>
    </row>
    <row r="186" spans="1:11" x14ac:dyDescent="0.2">
      <c r="A186" s="2" t="s">
        <v>389</v>
      </c>
      <c r="B186" s="2" t="s">
        <v>390</v>
      </c>
      <c r="C186" s="2" t="s">
        <v>19</v>
      </c>
      <c r="D186" s="3">
        <v>46157.699687499997</v>
      </c>
      <c r="E186" s="3">
        <v>46157.711493055554</v>
      </c>
      <c r="F186" s="9">
        <f>IF($K186="cancelled"," ",(quick_commerce_orders[[#This Row],[delivery_time]]-quick_commerce_orders[[#This Row],[order_time]])*1440)</f>
        <v>17.000000003026798</v>
      </c>
      <c r="G186" s="2">
        <v>1670.42</v>
      </c>
      <c r="H186" s="2" t="str">
        <f>IF(quick_commerce_orders[[#This Row],[order_value]]&lt;500,"Low",IF(quick_commerce_orders[[#This Row],[order_value]]&gt;1500,"High","Moderate"))</f>
        <v>High</v>
      </c>
      <c r="I1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6" s="2" t="s">
        <v>39</v>
      </c>
      <c r="K186" s="2" t="s">
        <v>16</v>
      </c>
    </row>
    <row r="187" spans="1:11" x14ac:dyDescent="0.2">
      <c r="A187" s="2" t="s">
        <v>391</v>
      </c>
      <c r="B187" s="2" t="s">
        <v>392</v>
      </c>
      <c r="C187" s="2" t="s">
        <v>75</v>
      </c>
      <c r="D187" s="3">
        <v>46157.599594907406</v>
      </c>
      <c r="E187" s="3">
        <v>46157.613483796296</v>
      </c>
      <c r="F187" s="9">
        <f>IF($K187="cancelled"," ",(quick_commerce_orders[[#This Row],[delivery_time]]-quick_commerce_orders[[#This Row],[order_time]])*1440)</f>
        <v>20.000000002328306</v>
      </c>
      <c r="G187" s="2">
        <v>119</v>
      </c>
      <c r="H187" s="2" t="str">
        <f>IF(quick_commerce_orders[[#This Row],[order_value]]&lt;500,"Low",IF(quick_commerce_orders[[#This Row],[order_value]]&gt;1500,"High","Moderate"))</f>
        <v>Low</v>
      </c>
      <c r="I1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7" s="2" t="s">
        <v>28</v>
      </c>
      <c r="K187" s="2" t="s">
        <v>16</v>
      </c>
    </row>
    <row r="188" spans="1:11" x14ac:dyDescent="0.2">
      <c r="A188" s="2" t="s">
        <v>393</v>
      </c>
      <c r="B188" s="2" t="s">
        <v>394</v>
      </c>
      <c r="C188" s="2" t="s">
        <v>10</v>
      </c>
      <c r="D188" s="3">
        <v>46172.901203703703</v>
      </c>
      <c r="E188" s="3">
        <v>46172.913703703707</v>
      </c>
      <c r="F188" s="9">
        <f>IF($K188="cancelled"," ",(quick_commerce_orders[[#This Row],[delivery_time]]-quick_commerce_orders[[#This Row],[order_time]])*1440)</f>
        <v>18.000000006286427</v>
      </c>
      <c r="G188" s="2">
        <v>1031.75</v>
      </c>
      <c r="H188" s="2" t="str">
        <f>IF(quick_commerce_orders[[#This Row],[order_value]]&lt;500,"Low",IF(quick_commerce_orders[[#This Row],[order_value]]&gt;1500,"High","Moderate"))</f>
        <v>Moderate</v>
      </c>
      <c r="I1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8" s="2" t="s">
        <v>11</v>
      </c>
      <c r="K188" s="2" t="s">
        <v>16</v>
      </c>
    </row>
    <row r="189" spans="1:11" x14ac:dyDescent="0.2">
      <c r="A189" s="2" t="s">
        <v>395</v>
      </c>
      <c r="B189" s="2" t="s">
        <v>396</v>
      </c>
      <c r="C189" s="2" t="s">
        <v>53</v>
      </c>
      <c r="D189" s="3">
        <v>46152.459374999999</v>
      </c>
      <c r="E189" s="3"/>
      <c r="F189" s="9" t="str">
        <f>IF($K189="cancelled"," ",(quick_commerce_orders[[#This Row],[delivery_time]]-quick_commerce_orders[[#This Row],[order_time]])*1440)</f>
        <v xml:space="preserve"> </v>
      </c>
      <c r="G189" s="2">
        <v>750.14</v>
      </c>
      <c r="H189" s="2" t="str">
        <f>IF(quick_commerce_orders[[#This Row],[order_value]]&lt;500,"Low",IF(quick_commerce_orders[[#This Row],[order_value]]&gt;1500,"High","Moderate"))</f>
        <v>Moderate</v>
      </c>
      <c r="I1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89" s="2" t="s">
        <v>20</v>
      </c>
      <c r="K189" s="2" t="s">
        <v>58</v>
      </c>
    </row>
    <row r="190" spans="1:11" x14ac:dyDescent="0.2">
      <c r="A190" s="2" t="s">
        <v>397</v>
      </c>
      <c r="B190" s="2" t="s">
        <v>398</v>
      </c>
      <c r="C190" s="2" t="s">
        <v>34</v>
      </c>
      <c r="D190" s="3">
        <v>46149.393726851849</v>
      </c>
      <c r="E190" s="3">
        <v>46149.402754629627</v>
      </c>
      <c r="F190" s="9">
        <f>IF($K190="cancelled"," ",(quick_commerce_orders[[#This Row],[delivery_time]]-quick_commerce_orders[[#This Row],[order_time]])*1440)</f>
        <v>13.000000000465661</v>
      </c>
      <c r="G190" s="2">
        <v>2144</v>
      </c>
      <c r="H190" s="2" t="str">
        <f>IF(quick_commerce_orders[[#This Row],[order_value]]&lt;500,"Low",IF(quick_commerce_orders[[#This Row],[order_value]]&gt;1500,"High","Moderate"))</f>
        <v>High</v>
      </c>
      <c r="I1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90" s="2" t="s">
        <v>28</v>
      </c>
      <c r="K190" s="2" t="s">
        <v>16</v>
      </c>
    </row>
    <row r="191" spans="1:11" x14ac:dyDescent="0.2">
      <c r="A191" s="2" t="s">
        <v>399</v>
      </c>
      <c r="B191" s="2" t="s">
        <v>400</v>
      </c>
      <c r="C191" s="2" t="s">
        <v>53</v>
      </c>
      <c r="D191" s="3">
        <v>46148.16233796296</v>
      </c>
      <c r="E191" s="3">
        <v>46148.170671296299</v>
      </c>
      <c r="F191" s="9">
        <f>IF($K191="cancelled"," ",(quick_commerce_orders[[#This Row],[delivery_time]]-quick_commerce_orders[[#This Row],[order_time]])*1440)</f>
        <v>12.000000007683411</v>
      </c>
      <c r="G191" s="2">
        <v>1683.24</v>
      </c>
      <c r="H191" s="2" t="str">
        <f>IF(quick_commerce_orders[[#This Row],[order_value]]&lt;500,"Low",IF(quick_commerce_orders[[#This Row],[order_value]]&gt;1500,"High","Moderate"))</f>
        <v>High</v>
      </c>
      <c r="I1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191" s="2" t="s">
        <v>20</v>
      </c>
      <c r="K191" s="2" t="s">
        <v>16</v>
      </c>
    </row>
    <row r="192" spans="1:11" x14ac:dyDescent="0.2">
      <c r="A192" s="2" t="s">
        <v>401</v>
      </c>
      <c r="B192" s="2" t="s">
        <v>402</v>
      </c>
      <c r="C192" s="2" t="s">
        <v>10</v>
      </c>
      <c r="D192" s="3">
        <v>46152.471770833334</v>
      </c>
      <c r="E192" s="3">
        <v>46152.479409722226</v>
      </c>
      <c r="F192" s="9">
        <f>IF($K192="cancelled"," ",(quick_commerce_orders[[#This Row],[delivery_time]]-quick_commerce_orders[[#This Row],[order_time]])*1440)</f>
        <v>11.000000004423782</v>
      </c>
      <c r="G192" s="2">
        <v>2173.2800000000002</v>
      </c>
      <c r="H192" s="2" t="str">
        <f>IF(quick_commerce_orders[[#This Row],[order_value]]&lt;500,"Low",IF(quick_commerce_orders[[#This Row],[order_value]]&gt;1500,"High","Moderate"))</f>
        <v>High</v>
      </c>
      <c r="I1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92" s="2" t="s">
        <v>28</v>
      </c>
      <c r="K192" s="2" t="s">
        <v>16</v>
      </c>
    </row>
    <row r="193" spans="1:11" x14ac:dyDescent="0.2">
      <c r="A193" s="2" t="s">
        <v>403</v>
      </c>
      <c r="B193" s="2" t="s">
        <v>404</v>
      </c>
      <c r="C193" s="2" t="s">
        <v>27</v>
      </c>
      <c r="D193" s="3">
        <v>46172.273263888892</v>
      </c>
      <c r="E193" s="3"/>
      <c r="F193" s="9" t="str">
        <f>IF($K193="cancelled"," ",(quick_commerce_orders[[#This Row],[delivery_time]]-quick_commerce_orders[[#This Row],[order_time]])*1440)</f>
        <v xml:space="preserve"> </v>
      </c>
      <c r="G193" s="2">
        <v>144.79</v>
      </c>
      <c r="H193" s="2" t="str">
        <f>IF(quick_commerce_orders[[#This Row],[order_value]]&lt;500,"Low",IF(quick_commerce_orders[[#This Row],[order_value]]&gt;1500,"High","Moderate"))</f>
        <v>Low</v>
      </c>
      <c r="I1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3" s="2" t="s">
        <v>39</v>
      </c>
      <c r="K193" s="2" t="s">
        <v>58</v>
      </c>
    </row>
    <row r="194" spans="1:11" x14ac:dyDescent="0.2">
      <c r="A194" s="2" t="s">
        <v>405</v>
      </c>
      <c r="B194" s="2" t="s">
        <v>406</v>
      </c>
      <c r="C194" s="2" t="s">
        <v>27</v>
      </c>
      <c r="D194" s="3">
        <v>46165.629490740743</v>
      </c>
      <c r="E194" s="3">
        <v>46165.651018518518</v>
      </c>
      <c r="F194" s="9">
        <f>IF($K194="cancelled"," ",(quick_commerce_orders[[#This Row],[delivery_time]]-quick_commerce_orders[[#This Row],[order_time]])*1440)</f>
        <v>30.99999999627471</v>
      </c>
      <c r="G194" s="2">
        <v>2180.79</v>
      </c>
      <c r="H194" s="2" t="str">
        <f>IF(quick_commerce_orders[[#This Row],[order_value]]&lt;500,"Low",IF(quick_commerce_orders[[#This Row],[order_value]]&gt;1500,"High","Moderate"))</f>
        <v>High</v>
      </c>
      <c r="I1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4" s="2" t="s">
        <v>20</v>
      </c>
      <c r="K194" s="2" t="s">
        <v>12</v>
      </c>
    </row>
    <row r="195" spans="1:11" x14ac:dyDescent="0.2">
      <c r="A195" s="2" t="s">
        <v>407</v>
      </c>
      <c r="B195" s="2" t="s">
        <v>408</v>
      </c>
      <c r="C195" s="2" t="s">
        <v>31</v>
      </c>
      <c r="D195" s="3">
        <v>46171.419664351852</v>
      </c>
      <c r="E195" s="3"/>
      <c r="F195" s="9" t="str">
        <f>IF($K195="cancelled"," ",(quick_commerce_orders[[#This Row],[delivery_time]]-quick_commerce_orders[[#This Row],[order_time]])*1440)</f>
        <v xml:space="preserve"> </v>
      </c>
      <c r="G195" s="2">
        <v>1657.59</v>
      </c>
      <c r="H195" s="2" t="str">
        <f>IF(quick_commerce_orders[[#This Row],[order_value]]&lt;500,"Low",IF(quick_commerce_orders[[#This Row],[order_value]]&gt;1500,"High","Moderate"))</f>
        <v>High</v>
      </c>
      <c r="I1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5" s="2" t="s">
        <v>15</v>
      </c>
      <c r="K195" s="2" t="s">
        <v>58</v>
      </c>
    </row>
    <row r="196" spans="1:11" x14ac:dyDescent="0.2">
      <c r="A196" s="2" t="s">
        <v>409</v>
      </c>
      <c r="B196" s="2" t="s">
        <v>410</v>
      </c>
      <c r="C196" s="2" t="s">
        <v>10</v>
      </c>
      <c r="D196" s="3">
        <v>46145.921539351853</v>
      </c>
      <c r="E196" s="3">
        <v>46145.931956018518</v>
      </c>
      <c r="F196" s="9">
        <f>IF($K196="cancelled"," ",(quick_commerce_orders[[#This Row],[delivery_time]]-quick_commerce_orders[[#This Row],[order_time]])*1440)</f>
        <v>14.99999999650754</v>
      </c>
      <c r="G196" s="2">
        <v>653.79999999999995</v>
      </c>
      <c r="H196" s="2" t="str">
        <f>IF(quick_commerce_orders[[#This Row],[order_value]]&lt;500,"Low",IF(quick_commerce_orders[[#This Row],[order_value]]&gt;1500,"High","Moderate"))</f>
        <v>Moderate</v>
      </c>
      <c r="I1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6" s="2" t="s">
        <v>20</v>
      </c>
      <c r="K196" s="2" t="s">
        <v>16</v>
      </c>
    </row>
    <row r="197" spans="1:11" x14ac:dyDescent="0.2">
      <c r="A197" s="2" t="s">
        <v>411</v>
      </c>
      <c r="B197" s="2" t="s">
        <v>412</v>
      </c>
      <c r="C197" s="2" t="s">
        <v>42</v>
      </c>
      <c r="D197" s="3">
        <v>46164.837997685187</v>
      </c>
      <c r="E197" s="3">
        <v>46164.845636574071</v>
      </c>
      <c r="F197" s="9">
        <f>IF($K197="cancelled"," ",(quick_commerce_orders[[#This Row],[delivery_time]]-quick_commerce_orders[[#This Row],[order_time]])*1440)</f>
        <v>10.999999993946403</v>
      </c>
      <c r="G197" s="2">
        <v>1012.68</v>
      </c>
      <c r="H197" s="2" t="str">
        <f>IF(quick_commerce_orders[[#This Row],[order_value]]&lt;500,"Low",IF(quick_commerce_orders[[#This Row],[order_value]]&gt;1500,"High","Moderate"))</f>
        <v>Moderate</v>
      </c>
      <c r="I1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7" s="2" t="s">
        <v>39</v>
      </c>
      <c r="K197" s="2" t="s">
        <v>16</v>
      </c>
    </row>
    <row r="198" spans="1:11" x14ac:dyDescent="0.2">
      <c r="A198" s="2" t="s">
        <v>413</v>
      </c>
      <c r="B198" s="2" t="s">
        <v>414</v>
      </c>
      <c r="C198" s="2" t="s">
        <v>10</v>
      </c>
      <c r="D198" s="3">
        <v>46153.969131944446</v>
      </c>
      <c r="E198" s="3">
        <v>46154.001076388886</v>
      </c>
      <c r="F198" s="9">
        <f>IF($K198="cancelled"," ",(quick_commerce_orders[[#This Row],[delivery_time]]-quick_commerce_orders[[#This Row],[order_time]])*1440)</f>
        <v>45.99999999278225</v>
      </c>
      <c r="G198" s="2">
        <v>2442.87</v>
      </c>
      <c r="H198" s="2" t="str">
        <f>IF(quick_commerce_orders[[#This Row],[order_value]]&lt;500,"Low",IF(quick_commerce_orders[[#This Row],[order_value]]&gt;1500,"High","Moderate"))</f>
        <v>High</v>
      </c>
      <c r="I1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8" s="2" t="s">
        <v>20</v>
      </c>
      <c r="K198" s="2" t="s">
        <v>12</v>
      </c>
    </row>
    <row r="199" spans="1:11" x14ac:dyDescent="0.2">
      <c r="A199" s="2" t="s">
        <v>415</v>
      </c>
      <c r="B199" s="2" t="s">
        <v>416</v>
      </c>
      <c r="C199" s="2" t="s">
        <v>53</v>
      </c>
      <c r="D199" s="3">
        <v>46154.715520833335</v>
      </c>
      <c r="E199" s="3">
        <v>46154.721076388887</v>
      </c>
      <c r="F199" s="9">
        <f>IF($K199="cancelled"," ",(quick_commerce_orders[[#This Row],[delivery_time]]-quick_commerce_orders[[#This Row],[order_time]])*1440)</f>
        <v>7.9999999946448952</v>
      </c>
      <c r="G199" s="2">
        <v>338.05</v>
      </c>
      <c r="H199" s="2" t="str">
        <f>IF(quick_commerce_orders[[#This Row],[order_value]]&lt;500,"Low",IF(quick_commerce_orders[[#This Row],[order_value]]&gt;1500,"High","Moderate"))</f>
        <v>Low</v>
      </c>
      <c r="I1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99" s="2" t="s">
        <v>28</v>
      </c>
      <c r="K199" s="2" t="s">
        <v>16</v>
      </c>
    </row>
    <row r="200" spans="1:11" x14ac:dyDescent="0.2">
      <c r="A200" s="2" t="s">
        <v>417</v>
      </c>
      <c r="B200" s="2" t="s">
        <v>418</v>
      </c>
      <c r="C200" s="2" t="s">
        <v>10</v>
      </c>
      <c r="D200" s="3">
        <v>46170.593645833331</v>
      </c>
      <c r="E200" s="3"/>
      <c r="F200" s="9" t="str">
        <f>IF($K200="cancelled"," ",(quick_commerce_orders[[#This Row],[delivery_time]]-quick_commerce_orders[[#This Row],[order_time]])*1440)</f>
        <v xml:space="preserve"> </v>
      </c>
      <c r="G200" s="2">
        <v>856.09</v>
      </c>
      <c r="H200" s="2" t="str">
        <f>IF(quick_commerce_orders[[#This Row],[order_value]]&lt;500,"Low",IF(quick_commerce_orders[[#This Row],[order_value]]&gt;1500,"High","Moderate"))</f>
        <v>Moderate</v>
      </c>
      <c r="I2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0" s="2" t="s">
        <v>28</v>
      </c>
      <c r="K200" s="2" t="s">
        <v>58</v>
      </c>
    </row>
    <row r="201" spans="1:11" x14ac:dyDescent="0.2">
      <c r="A201" s="2" t="s">
        <v>419</v>
      </c>
      <c r="B201" s="2" t="s">
        <v>420</v>
      </c>
      <c r="C201" s="2" t="s">
        <v>10</v>
      </c>
      <c r="D201" s="3">
        <v>46168.841099537036</v>
      </c>
      <c r="E201" s="3">
        <v>46168.850127314814</v>
      </c>
      <c r="F201" s="9">
        <f>IF($K201="cancelled"," ",(quick_commerce_orders[[#This Row],[delivery_time]]-quick_commerce_orders[[#This Row],[order_time]])*1440)</f>
        <v>13.000000000465661</v>
      </c>
      <c r="G201" s="2">
        <v>2179.25</v>
      </c>
      <c r="H201" s="2" t="str">
        <f>IF(quick_commerce_orders[[#This Row],[order_value]]&lt;500,"Low",IF(quick_commerce_orders[[#This Row],[order_value]]&gt;1500,"High","Moderate"))</f>
        <v>High</v>
      </c>
      <c r="I2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1" s="2" t="s">
        <v>15</v>
      </c>
      <c r="K201" s="2" t="s">
        <v>16</v>
      </c>
    </row>
    <row r="202" spans="1:11" x14ac:dyDescent="0.2">
      <c r="A202" s="2" t="s">
        <v>421</v>
      </c>
      <c r="B202" s="2" t="s">
        <v>422</v>
      </c>
      <c r="C202" s="2" t="s">
        <v>10</v>
      </c>
      <c r="D202" s="3">
        <v>46170.501238425924</v>
      </c>
      <c r="E202" s="3">
        <v>46170.541516203702</v>
      </c>
      <c r="F202" s="9">
        <f>IF($K202="cancelled"," ",(quick_commerce_orders[[#This Row],[delivery_time]]-quick_commerce_orders[[#This Row],[order_time]])*1440)</f>
        <v>58.000000000465661</v>
      </c>
      <c r="G202" s="2">
        <v>1374.75</v>
      </c>
      <c r="H202" s="2" t="str">
        <f>IF(quick_commerce_orders[[#This Row],[order_value]]&lt;500,"Low",IF(quick_commerce_orders[[#This Row],[order_value]]&gt;1500,"High","Moderate"))</f>
        <v>Moderate</v>
      </c>
      <c r="I2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2" s="2" t="s">
        <v>20</v>
      </c>
      <c r="K202" s="2" t="s">
        <v>12</v>
      </c>
    </row>
    <row r="203" spans="1:11" x14ac:dyDescent="0.2">
      <c r="A203" s="2" t="s">
        <v>423</v>
      </c>
      <c r="B203" s="2" t="s">
        <v>424</v>
      </c>
      <c r="C203" s="2" t="s">
        <v>31</v>
      </c>
      <c r="D203" s="3">
        <v>46155.609340277777</v>
      </c>
      <c r="E203" s="3">
        <v>46155.623229166667</v>
      </c>
      <c r="F203" s="9">
        <f>IF($K203="cancelled"," ",(quick_commerce_orders[[#This Row],[delivery_time]]-quick_commerce_orders[[#This Row],[order_time]])*1440)</f>
        <v>20.000000002328306</v>
      </c>
      <c r="G203" s="2">
        <v>546.4</v>
      </c>
      <c r="H203" s="2" t="str">
        <f>IF(quick_commerce_orders[[#This Row],[order_value]]&lt;500,"Low",IF(quick_commerce_orders[[#This Row],[order_value]]&gt;1500,"High","Moderate"))</f>
        <v>Moderate</v>
      </c>
      <c r="I2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3" s="2" t="s">
        <v>28</v>
      </c>
      <c r="K203" s="2" t="s">
        <v>16</v>
      </c>
    </row>
    <row r="204" spans="1:11" x14ac:dyDescent="0.2">
      <c r="A204" s="2" t="s">
        <v>425</v>
      </c>
      <c r="B204" s="2" t="s">
        <v>426</v>
      </c>
      <c r="C204" s="2" t="s">
        <v>42</v>
      </c>
      <c r="D204" s="3">
        <v>46167.031400462962</v>
      </c>
      <c r="E204" s="3"/>
      <c r="F204" s="9" t="str">
        <f>IF($K204="cancelled"," ",(quick_commerce_orders[[#This Row],[delivery_time]]-quick_commerce_orders[[#This Row],[order_time]])*1440)</f>
        <v xml:space="preserve"> </v>
      </c>
      <c r="G204" s="2">
        <v>1300.56</v>
      </c>
      <c r="H204" s="2" t="str">
        <f>IF(quick_commerce_orders[[#This Row],[order_value]]&lt;500,"Low",IF(quick_commerce_orders[[#This Row],[order_value]]&gt;1500,"High","Moderate"))</f>
        <v>Moderate</v>
      </c>
      <c r="I2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4" s="2" t="s">
        <v>20</v>
      </c>
      <c r="K204" s="2" t="s">
        <v>58</v>
      </c>
    </row>
    <row r="205" spans="1:11" x14ac:dyDescent="0.2">
      <c r="A205" s="2" t="s">
        <v>427</v>
      </c>
      <c r="B205" s="2" t="s">
        <v>428</v>
      </c>
      <c r="C205" s="2" t="s">
        <v>27</v>
      </c>
      <c r="D205" s="3">
        <v>46156.3671875</v>
      </c>
      <c r="E205" s="3">
        <v>46156.374826388892</v>
      </c>
      <c r="F205" s="9">
        <f>IF($K205="cancelled"," ",(quick_commerce_orders[[#This Row],[delivery_time]]-quick_commerce_orders[[#This Row],[order_time]])*1440)</f>
        <v>11.000000004423782</v>
      </c>
      <c r="G205" s="2">
        <v>1198.17</v>
      </c>
      <c r="H205" s="2" t="str">
        <f>IF(quick_commerce_orders[[#This Row],[order_value]]&lt;500,"Low",IF(quick_commerce_orders[[#This Row],[order_value]]&gt;1500,"High","Moderate"))</f>
        <v>Moderate</v>
      </c>
      <c r="I2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05" s="2" t="s">
        <v>80</v>
      </c>
      <c r="K205" s="2" t="s">
        <v>16</v>
      </c>
    </row>
    <row r="206" spans="1:11" x14ac:dyDescent="0.2">
      <c r="A206" s="2" t="s">
        <v>429</v>
      </c>
      <c r="B206" s="2" t="s">
        <v>430</v>
      </c>
      <c r="C206" s="2" t="s">
        <v>75</v>
      </c>
      <c r="D206" s="3">
        <v>46147.754756944443</v>
      </c>
      <c r="E206" s="3">
        <v>46147.761006944442</v>
      </c>
      <c r="F206" s="9">
        <f>IF($K206="cancelled"," ",(quick_commerce_orders[[#This Row],[delivery_time]]-quick_commerce_orders[[#This Row],[order_time]])*1440)</f>
        <v>8.9999999979045242</v>
      </c>
      <c r="G206" s="2">
        <v>2322.2399999999998</v>
      </c>
      <c r="H206" s="2" t="str">
        <f>IF(quick_commerce_orders[[#This Row],[order_value]]&lt;500,"Low",IF(quick_commerce_orders[[#This Row],[order_value]]&gt;1500,"High","Moderate"))</f>
        <v>High</v>
      </c>
      <c r="I2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6" s="2" t="s">
        <v>28</v>
      </c>
      <c r="K206" s="2" t="s">
        <v>16</v>
      </c>
    </row>
    <row r="207" spans="1:11" x14ac:dyDescent="0.2">
      <c r="A207" s="2" t="s">
        <v>431</v>
      </c>
      <c r="B207" s="2" t="s">
        <v>432</v>
      </c>
      <c r="C207" s="2" t="s">
        <v>42</v>
      </c>
      <c r="D207" s="3">
        <v>46154.472361111111</v>
      </c>
      <c r="E207" s="3">
        <v>46154.486250000002</v>
      </c>
      <c r="F207" s="9">
        <f>IF($K207="cancelled"," ",(quick_commerce_orders[[#This Row],[delivery_time]]-quick_commerce_orders[[#This Row],[order_time]])*1440)</f>
        <v>20.000000002328306</v>
      </c>
      <c r="G207" s="2">
        <v>150.57</v>
      </c>
      <c r="H207" s="2" t="str">
        <f>IF(quick_commerce_orders[[#This Row],[order_value]]&lt;500,"Low",IF(quick_commerce_orders[[#This Row],[order_value]]&gt;1500,"High","Moderate"))</f>
        <v>Low</v>
      </c>
      <c r="I2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07" s="2" t="s">
        <v>20</v>
      </c>
      <c r="K207" s="2" t="s">
        <v>16</v>
      </c>
    </row>
    <row r="208" spans="1:11" x14ac:dyDescent="0.2">
      <c r="A208" s="2" t="s">
        <v>433</v>
      </c>
      <c r="B208" s="2" t="s">
        <v>434</v>
      </c>
      <c r="C208" s="2" t="s">
        <v>42</v>
      </c>
      <c r="D208" s="3">
        <v>46172.136597222219</v>
      </c>
      <c r="E208" s="3">
        <v>46172.148402777777</v>
      </c>
      <c r="F208" s="9">
        <f>IF($K208="cancelled"," ",(quick_commerce_orders[[#This Row],[delivery_time]]-quick_commerce_orders[[#This Row],[order_time]])*1440)</f>
        <v>17.000000003026798</v>
      </c>
      <c r="G208" s="2">
        <v>692.74</v>
      </c>
      <c r="H208" s="2" t="str">
        <f>IF(quick_commerce_orders[[#This Row],[order_value]]&lt;500,"Low",IF(quick_commerce_orders[[#This Row],[order_value]]&gt;1500,"High","Moderate"))</f>
        <v>Moderate</v>
      </c>
      <c r="I2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08" s="2" t="s">
        <v>11</v>
      </c>
      <c r="K208" s="2" t="s">
        <v>16</v>
      </c>
    </row>
    <row r="209" spans="1:11" x14ac:dyDescent="0.2">
      <c r="A209" s="2" t="s">
        <v>435</v>
      </c>
      <c r="B209" s="2" t="s">
        <v>436</v>
      </c>
      <c r="C209" s="2" t="s">
        <v>75</v>
      </c>
      <c r="D209" s="3">
        <v>46174.694675925923</v>
      </c>
      <c r="E209" s="3">
        <v>46174.70648148148</v>
      </c>
      <c r="F209" s="9">
        <f>IF($K209="cancelled"," ",(quick_commerce_orders[[#This Row],[delivery_time]]-quick_commerce_orders[[#This Row],[order_time]])*1440)</f>
        <v>17.000000003026798</v>
      </c>
      <c r="G209" s="2">
        <v>1369.6</v>
      </c>
      <c r="H209" s="2" t="str">
        <f>IF(quick_commerce_orders[[#This Row],[order_value]]&lt;500,"Low",IF(quick_commerce_orders[[#This Row],[order_value]]&gt;1500,"High","Moderate"))</f>
        <v>Moderate</v>
      </c>
      <c r="I2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09" s="2" t="s">
        <v>28</v>
      </c>
      <c r="K209" s="2" t="s">
        <v>16</v>
      </c>
    </row>
    <row r="210" spans="1:11" x14ac:dyDescent="0.2">
      <c r="A210" s="2" t="s">
        <v>437</v>
      </c>
      <c r="B210" s="2" t="s">
        <v>438</v>
      </c>
      <c r="C210" s="2" t="s">
        <v>42</v>
      </c>
      <c r="D210" s="3">
        <v>46167.80945601852</v>
      </c>
      <c r="E210" s="3"/>
      <c r="F210" s="9" t="str">
        <f>IF($K210="cancelled"," ",(quick_commerce_orders[[#This Row],[delivery_time]]-quick_commerce_orders[[#This Row],[order_time]])*1440)</f>
        <v xml:space="preserve"> </v>
      </c>
      <c r="G210" s="2">
        <v>899.57</v>
      </c>
      <c r="H210" s="2" t="str">
        <f>IF(quick_commerce_orders[[#This Row],[order_value]]&lt;500,"Low",IF(quick_commerce_orders[[#This Row],[order_value]]&gt;1500,"High","Moderate"))</f>
        <v>Moderate</v>
      </c>
      <c r="I2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0" s="2" t="s">
        <v>11</v>
      </c>
      <c r="K210" s="2" t="s">
        <v>58</v>
      </c>
    </row>
    <row r="211" spans="1:11" x14ac:dyDescent="0.2">
      <c r="A211" s="2" t="s">
        <v>439</v>
      </c>
      <c r="B211" s="2" t="s">
        <v>440</v>
      </c>
      <c r="C211" s="2" t="s">
        <v>53</v>
      </c>
      <c r="D211" s="3">
        <v>46150.474236111113</v>
      </c>
      <c r="E211" s="3">
        <v>46150.484652777777</v>
      </c>
      <c r="F211" s="9">
        <f>IF($K211="cancelled"," ",(quick_commerce_orders[[#This Row],[delivery_time]]-quick_commerce_orders[[#This Row],[order_time]])*1440)</f>
        <v>14.99999999650754</v>
      </c>
      <c r="G211" s="2">
        <v>1043.1600000000001</v>
      </c>
      <c r="H211" s="2" t="str">
        <f>IF(quick_commerce_orders[[#This Row],[order_value]]&lt;500,"Low",IF(quick_commerce_orders[[#This Row],[order_value]]&gt;1500,"High","Moderate"))</f>
        <v>Moderate</v>
      </c>
      <c r="I2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11" s="2" t="s">
        <v>80</v>
      </c>
      <c r="K211" s="2" t="s">
        <v>16</v>
      </c>
    </row>
    <row r="212" spans="1:11" x14ac:dyDescent="0.2">
      <c r="A212" s="2" t="s">
        <v>441</v>
      </c>
      <c r="B212" s="2" t="s">
        <v>442</v>
      </c>
      <c r="C212" s="2" t="s">
        <v>27</v>
      </c>
      <c r="D212" s="3">
        <v>46172.799907407411</v>
      </c>
      <c r="E212" s="3">
        <v>46172.821435185186</v>
      </c>
      <c r="F212" s="9">
        <f>IF($K212="cancelled"," ",(quick_commerce_orders[[#This Row],[delivery_time]]-quick_commerce_orders[[#This Row],[order_time]])*1440)</f>
        <v>30.99999999627471</v>
      </c>
      <c r="G212" s="2">
        <v>475.81</v>
      </c>
      <c r="H212" s="2" t="str">
        <f>IF(quick_commerce_orders[[#This Row],[order_value]]&lt;500,"Low",IF(quick_commerce_orders[[#This Row],[order_value]]&gt;1500,"High","Moderate"))</f>
        <v>Low</v>
      </c>
      <c r="I2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2" s="2" t="s">
        <v>80</v>
      </c>
      <c r="K212" s="2" t="s">
        <v>12</v>
      </c>
    </row>
    <row r="213" spans="1:11" x14ac:dyDescent="0.2">
      <c r="A213" s="2" t="s">
        <v>443</v>
      </c>
      <c r="B213" s="2" t="s">
        <v>444</v>
      </c>
      <c r="C213" s="2" t="s">
        <v>42</v>
      </c>
      <c r="D213" s="3">
        <v>46162.817418981482</v>
      </c>
      <c r="E213" s="3">
        <v>46162.829918981479</v>
      </c>
      <c r="F213" s="9">
        <f>IF($K213="cancelled"," ",(quick_commerce_orders[[#This Row],[delivery_time]]-quick_commerce_orders[[#This Row],[order_time]])*1440)</f>
        <v>17.999999995809048</v>
      </c>
      <c r="G213" s="2">
        <v>931.27</v>
      </c>
      <c r="H213" s="2" t="str">
        <f>IF(quick_commerce_orders[[#This Row],[order_value]]&lt;500,"Low",IF(quick_commerce_orders[[#This Row],[order_value]]&gt;1500,"High","Moderate"))</f>
        <v>Moderate</v>
      </c>
      <c r="I2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3" s="2" t="s">
        <v>28</v>
      </c>
      <c r="K213" s="2" t="s">
        <v>16</v>
      </c>
    </row>
    <row r="214" spans="1:11" x14ac:dyDescent="0.2">
      <c r="A214" s="2" t="s">
        <v>445</v>
      </c>
      <c r="B214" s="2" t="s">
        <v>446</v>
      </c>
      <c r="C214" s="2" t="s">
        <v>27</v>
      </c>
      <c r="D214" s="3">
        <v>46151.421701388892</v>
      </c>
      <c r="E214" s="3">
        <v>46151.458506944444</v>
      </c>
      <c r="F214" s="9">
        <f>IF($K214="cancelled"," ",(quick_commerce_orders[[#This Row],[delivery_time]]-quick_commerce_orders[[#This Row],[order_time]])*1440)</f>
        <v>52.999999994644895</v>
      </c>
      <c r="G214" s="2">
        <v>943.59</v>
      </c>
      <c r="H214" s="2" t="str">
        <f>IF(quick_commerce_orders[[#This Row],[order_value]]&lt;500,"Low",IF(quick_commerce_orders[[#This Row],[order_value]]&gt;1500,"High","Moderate"))</f>
        <v>Moderate</v>
      </c>
      <c r="I2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14" s="2" t="s">
        <v>80</v>
      </c>
      <c r="K214" s="2" t="s">
        <v>12</v>
      </c>
    </row>
    <row r="215" spans="1:11" x14ac:dyDescent="0.2">
      <c r="A215" s="2" t="s">
        <v>447</v>
      </c>
      <c r="B215" s="2" t="s">
        <v>448</v>
      </c>
      <c r="C215" s="2" t="s">
        <v>31</v>
      </c>
      <c r="D215" s="3">
        <v>46162.132905092592</v>
      </c>
      <c r="E215" s="3">
        <v>46162.155127314814</v>
      </c>
      <c r="F215" s="9">
        <f>IF($K215="cancelled"," ",(quick_commerce_orders[[#This Row],[delivery_time]]-quick_commerce_orders[[#This Row],[order_time]])*1440)</f>
        <v>31.999999999534339</v>
      </c>
      <c r="G215" s="2">
        <v>1599.55</v>
      </c>
      <c r="H215" s="2" t="str">
        <f>IF(quick_commerce_orders[[#This Row],[order_value]]&lt;500,"Low",IF(quick_commerce_orders[[#This Row],[order_value]]&gt;1500,"High","Moderate"))</f>
        <v>High</v>
      </c>
      <c r="I2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15" s="2" t="s">
        <v>28</v>
      </c>
      <c r="K215" s="2" t="s">
        <v>12</v>
      </c>
    </row>
    <row r="216" spans="1:11" x14ac:dyDescent="0.2">
      <c r="A216" s="2" t="s">
        <v>449</v>
      </c>
      <c r="B216" s="2" t="s">
        <v>450</v>
      </c>
      <c r="C216" s="2" t="s">
        <v>10</v>
      </c>
      <c r="D216" s="3">
        <v>46152.683634259258</v>
      </c>
      <c r="E216" s="3">
        <v>46152.689884259256</v>
      </c>
      <c r="F216" s="9">
        <f>IF($K216="cancelled"," ",(quick_commerce_orders[[#This Row],[delivery_time]]-quick_commerce_orders[[#This Row],[order_time]])*1440)</f>
        <v>8.9999999979045242</v>
      </c>
      <c r="G216" s="2">
        <v>665.89</v>
      </c>
      <c r="H216" s="2" t="str">
        <f>IF(quick_commerce_orders[[#This Row],[order_value]]&lt;500,"Low",IF(quick_commerce_orders[[#This Row],[order_value]]&gt;1500,"High","Moderate"))</f>
        <v>Moderate</v>
      </c>
      <c r="I2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6" s="2" t="s">
        <v>39</v>
      </c>
      <c r="K216" s="2" t="s">
        <v>16</v>
      </c>
    </row>
    <row r="217" spans="1:11" x14ac:dyDescent="0.2">
      <c r="A217" s="2" t="s">
        <v>451</v>
      </c>
      <c r="B217" s="2" t="s">
        <v>452</v>
      </c>
      <c r="C217" s="2" t="s">
        <v>31</v>
      </c>
      <c r="D217" s="3">
        <v>46151.766979166663</v>
      </c>
      <c r="E217" s="3">
        <v>46151.786423611113</v>
      </c>
      <c r="F217" s="9">
        <f>IF($K217="cancelled"," ",(quick_commerce_orders[[#This Row],[delivery_time]]-quick_commerce_orders[[#This Row],[order_time]])*1440)</f>
        <v>28.000000007450581</v>
      </c>
      <c r="G217" s="2">
        <v>2446.79</v>
      </c>
      <c r="H217" s="2" t="str">
        <f>IF(quick_commerce_orders[[#This Row],[order_value]]&lt;500,"Low",IF(quick_commerce_orders[[#This Row],[order_value]]&gt;1500,"High","Moderate"))</f>
        <v>High</v>
      </c>
      <c r="I2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7" s="2" t="s">
        <v>11</v>
      </c>
      <c r="K217" s="2" t="s">
        <v>12</v>
      </c>
    </row>
    <row r="218" spans="1:11" x14ac:dyDescent="0.2">
      <c r="A218" s="2" t="s">
        <v>453</v>
      </c>
      <c r="B218" s="2" t="s">
        <v>454</v>
      </c>
      <c r="C218" s="2" t="s">
        <v>27</v>
      </c>
      <c r="D218" s="3">
        <v>46154.653171296297</v>
      </c>
      <c r="E218" s="3">
        <v>46154.658726851849</v>
      </c>
      <c r="F218" s="9">
        <f>IF($K218="cancelled"," ",(quick_commerce_orders[[#This Row],[delivery_time]]-quick_commerce_orders[[#This Row],[order_time]])*1440)</f>
        <v>7.9999999946448952</v>
      </c>
      <c r="G218" s="2">
        <v>1302</v>
      </c>
      <c r="H218" s="2" t="str">
        <f>IF(quick_commerce_orders[[#This Row],[order_value]]&lt;500,"Low",IF(quick_commerce_orders[[#This Row],[order_value]]&gt;1500,"High","Moderate"))</f>
        <v>Moderate</v>
      </c>
      <c r="I2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8" s="2" t="s">
        <v>15</v>
      </c>
      <c r="K218" s="2" t="s">
        <v>16</v>
      </c>
    </row>
    <row r="219" spans="1:11" x14ac:dyDescent="0.2">
      <c r="A219" s="2" t="s">
        <v>455</v>
      </c>
      <c r="B219" s="2" t="s">
        <v>456</v>
      </c>
      <c r="C219" s="2" t="s">
        <v>42</v>
      </c>
      <c r="D219" s="3">
        <v>46154.715636574074</v>
      </c>
      <c r="E219" s="3"/>
      <c r="F219" s="9" t="str">
        <f>IF($K219="cancelled"," ",(quick_commerce_orders[[#This Row],[delivery_time]]-quick_commerce_orders[[#This Row],[order_time]])*1440)</f>
        <v xml:space="preserve"> </v>
      </c>
      <c r="G219" s="2">
        <v>2047.54</v>
      </c>
      <c r="H219" s="2" t="str">
        <f>IF(quick_commerce_orders[[#This Row],[order_value]]&lt;500,"Low",IF(quick_commerce_orders[[#This Row],[order_value]]&gt;1500,"High","Moderate"))</f>
        <v>High</v>
      </c>
      <c r="I2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19" s="2" t="s">
        <v>39</v>
      </c>
      <c r="K219" s="2" t="s">
        <v>58</v>
      </c>
    </row>
    <row r="220" spans="1:11" x14ac:dyDescent="0.2">
      <c r="A220" s="2" t="s">
        <v>457</v>
      </c>
      <c r="B220" s="2" t="s">
        <v>458</v>
      </c>
      <c r="C220" s="2" t="s">
        <v>75</v>
      </c>
      <c r="D220" s="3">
        <v>46161.174537037034</v>
      </c>
      <c r="E220" s="3">
        <v>46161.184259259258</v>
      </c>
      <c r="F220" s="9">
        <f>IF($K220="cancelled"," ",(quick_commerce_orders[[#This Row],[delivery_time]]-quick_commerce_orders[[#This Row],[order_time]])*1440)</f>
        <v>14.00000000372529</v>
      </c>
      <c r="G220" s="2">
        <v>1600.9</v>
      </c>
      <c r="H220" s="2" t="str">
        <f>IF(quick_commerce_orders[[#This Row],[order_value]]&lt;500,"Low",IF(quick_commerce_orders[[#This Row],[order_value]]&gt;1500,"High","Moderate"))</f>
        <v>High</v>
      </c>
      <c r="I2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20" s="2" t="s">
        <v>80</v>
      </c>
      <c r="K220" s="2" t="s">
        <v>16</v>
      </c>
    </row>
    <row r="221" spans="1:11" x14ac:dyDescent="0.2">
      <c r="A221" s="2" t="s">
        <v>459</v>
      </c>
      <c r="B221" s="2" t="s">
        <v>460</v>
      </c>
      <c r="C221" s="2" t="s">
        <v>27</v>
      </c>
      <c r="D221" s="3">
        <v>46171.794386574074</v>
      </c>
      <c r="E221" s="3">
        <v>46171.803414351853</v>
      </c>
      <c r="F221" s="9">
        <f>IF($K221="cancelled"," ",(quick_commerce_orders[[#This Row],[delivery_time]]-quick_commerce_orders[[#This Row],[order_time]])*1440)</f>
        <v>13.000000000465661</v>
      </c>
      <c r="G221" s="2">
        <v>2207.83</v>
      </c>
      <c r="H221" s="2" t="str">
        <f>IF(quick_commerce_orders[[#This Row],[order_value]]&lt;500,"Low",IF(quick_commerce_orders[[#This Row],[order_value]]&gt;1500,"High","Moderate"))</f>
        <v>High</v>
      </c>
      <c r="I2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21" s="2" t="s">
        <v>28</v>
      </c>
      <c r="K221" s="2" t="s">
        <v>16</v>
      </c>
    </row>
    <row r="222" spans="1:11" x14ac:dyDescent="0.2">
      <c r="A222" s="2" t="s">
        <v>461</v>
      </c>
      <c r="B222" s="2" t="s">
        <v>462</v>
      </c>
      <c r="C222" s="2" t="s">
        <v>42</v>
      </c>
      <c r="D222" s="3">
        <v>46165.021620370368</v>
      </c>
      <c r="E222" s="3">
        <v>46165.041759259257</v>
      </c>
      <c r="F222" s="9">
        <f>IF($K222="cancelled"," ",(quick_commerce_orders[[#This Row],[delivery_time]]-quick_commerce_orders[[#This Row],[order_time]])*1440)</f>
        <v>29.000000000232831</v>
      </c>
      <c r="G222" s="2">
        <v>2235.9699999999998</v>
      </c>
      <c r="H222" s="2" t="str">
        <f>IF(quick_commerce_orders[[#This Row],[order_value]]&lt;500,"Low",IF(quick_commerce_orders[[#This Row],[order_value]]&gt;1500,"High","Moderate"))</f>
        <v>High</v>
      </c>
      <c r="I2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22" s="2" t="s">
        <v>39</v>
      </c>
      <c r="K222" s="2" t="s">
        <v>12</v>
      </c>
    </row>
    <row r="223" spans="1:11" x14ac:dyDescent="0.2">
      <c r="A223" s="2" t="s">
        <v>463</v>
      </c>
      <c r="B223" s="2" t="s">
        <v>464</v>
      </c>
      <c r="C223" s="2" t="s">
        <v>19</v>
      </c>
      <c r="D223" s="3">
        <v>46155.524675925924</v>
      </c>
      <c r="E223" s="3">
        <v>46155.538564814815</v>
      </c>
      <c r="F223" s="9">
        <f>IF($K223="cancelled"," ",(quick_commerce_orders[[#This Row],[delivery_time]]-quick_commerce_orders[[#This Row],[order_time]])*1440)</f>
        <v>20.000000002328306</v>
      </c>
      <c r="G223" s="2">
        <v>2054.66</v>
      </c>
      <c r="H223" s="2" t="str">
        <f>IF(quick_commerce_orders[[#This Row],[order_value]]&lt;500,"Low",IF(quick_commerce_orders[[#This Row],[order_value]]&gt;1500,"High","Moderate"))</f>
        <v>High</v>
      </c>
      <c r="I2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23" s="2" t="s">
        <v>20</v>
      </c>
      <c r="K223" s="2" t="s">
        <v>16</v>
      </c>
    </row>
    <row r="224" spans="1:11" x14ac:dyDescent="0.2">
      <c r="A224" s="2" t="s">
        <v>465</v>
      </c>
      <c r="B224" s="2" t="s">
        <v>466</v>
      </c>
      <c r="C224" s="2" t="s">
        <v>53</v>
      </c>
      <c r="D224" s="3">
        <v>46174.571886574071</v>
      </c>
      <c r="E224" s="3">
        <v>46174.578831018516</v>
      </c>
      <c r="F224" s="9">
        <f>IF($K224="cancelled"," ",(quick_commerce_orders[[#This Row],[delivery_time]]-quick_commerce_orders[[#This Row],[order_time]])*1440)</f>
        <v>10.000000001164153</v>
      </c>
      <c r="G224" s="2">
        <v>169.72</v>
      </c>
      <c r="H224" s="2" t="str">
        <f>IF(quick_commerce_orders[[#This Row],[order_value]]&lt;500,"Low",IF(quick_commerce_orders[[#This Row],[order_value]]&gt;1500,"High","Moderate"))</f>
        <v>Low</v>
      </c>
      <c r="I2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24" s="2" t="s">
        <v>20</v>
      </c>
      <c r="K224" s="2" t="s">
        <v>16</v>
      </c>
    </row>
    <row r="225" spans="1:11" x14ac:dyDescent="0.2">
      <c r="A225" s="2" t="s">
        <v>467</v>
      </c>
      <c r="B225" s="2" t="s">
        <v>468</v>
      </c>
      <c r="C225" s="2" t="s">
        <v>53</v>
      </c>
      <c r="D225" s="3">
        <v>46169.953796296293</v>
      </c>
      <c r="E225" s="3">
        <v>46169.973240740743</v>
      </c>
      <c r="F225" s="9">
        <f>IF($K225="cancelled"," ",(quick_commerce_orders[[#This Row],[delivery_time]]-quick_commerce_orders[[#This Row],[order_time]])*1440)</f>
        <v>28.000000007450581</v>
      </c>
      <c r="G225" s="2">
        <v>1430.85</v>
      </c>
      <c r="H225" s="2" t="str">
        <f>IF(quick_commerce_orders[[#This Row],[order_value]]&lt;500,"Low",IF(quick_commerce_orders[[#This Row],[order_value]]&gt;1500,"High","Moderate"))</f>
        <v>Moderate</v>
      </c>
      <c r="I2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25" s="2" t="s">
        <v>20</v>
      </c>
      <c r="K225" s="2" t="s">
        <v>12</v>
      </c>
    </row>
    <row r="226" spans="1:11" x14ac:dyDescent="0.2">
      <c r="A226" s="2" t="s">
        <v>469</v>
      </c>
      <c r="B226" s="2" t="s">
        <v>470</v>
      </c>
      <c r="C226" s="2" t="s">
        <v>34</v>
      </c>
      <c r="D226" s="3">
        <v>46174.212222222224</v>
      </c>
      <c r="E226" s="3">
        <v>46174.249027777776</v>
      </c>
      <c r="F226" s="9">
        <f>IF($K226="cancelled"," ",(quick_commerce_orders[[#This Row],[delivery_time]]-quick_commerce_orders[[#This Row],[order_time]])*1440)</f>
        <v>52.999999994644895</v>
      </c>
      <c r="G226" s="2">
        <v>771.47</v>
      </c>
      <c r="H226" s="2" t="str">
        <f>IF(quick_commerce_orders[[#This Row],[order_value]]&lt;500,"Low",IF(quick_commerce_orders[[#This Row],[order_value]]&gt;1500,"High","Moderate"))</f>
        <v>Moderate</v>
      </c>
      <c r="I2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26" s="2" t="s">
        <v>28</v>
      </c>
      <c r="K226" s="2" t="s">
        <v>12</v>
      </c>
    </row>
    <row r="227" spans="1:11" x14ac:dyDescent="0.2">
      <c r="A227" s="2" t="s">
        <v>471</v>
      </c>
      <c r="B227" s="2" t="s">
        <v>472</v>
      </c>
      <c r="C227" s="2" t="s">
        <v>34</v>
      </c>
      <c r="D227" s="3">
        <v>46144.304189814815</v>
      </c>
      <c r="E227" s="3">
        <v>46144.309745370374</v>
      </c>
      <c r="F227" s="9">
        <f>IF($K227="cancelled"," ",(quick_commerce_orders[[#This Row],[delivery_time]]-quick_commerce_orders[[#This Row],[order_time]])*1440)</f>
        <v>8.0000000051222742</v>
      </c>
      <c r="G227" s="2">
        <v>463.1</v>
      </c>
      <c r="H227" s="2" t="str">
        <f>IF(quick_commerce_orders[[#This Row],[order_value]]&lt;500,"Low",IF(quick_commerce_orders[[#This Row],[order_value]]&gt;1500,"High","Moderate"))</f>
        <v>Low</v>
      </c>
      <c r="I2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27" s="2" t="s">
        <v>80</v>
      </c>
      <c r="K227" s="2" t="s">
        <v>16</v>
      </c>
    </row>
    <row r="228" spans="1:11" x14ac:dyDescent="0.2">
      <c r="A228" s="2" t="s">
        <v>473</v>
      </c>
      <c r="B228" s="2" t="s">
        <v>474</v>
      </c>
      <c r="C228" s="2" t="s">
        <v>31</v>
      </c>
      <c r="D228" s="3">
        <v>46160.315486111111</v>
      </c>
      <c r="E228" s="3">
        <v>46160.346041666664</v>
      </c>
      <c r="F228" s="9">
        <f>IF($K228="cancelled"," ",(quick_commerce_orders[[#This Row],[delivery_time]]-quick_commerce_orders[[#This Row],[order_time]])*1440)</f>
        <v>43.999999996740371</v>
      </c>
      <c r="G228" s="2">
        <v>2252.2199999999998</v>
      </c>
      <c r="H228" s="2" t="str">
        <f>IF(quick_commerce_orders[[#This Row],[order_value]]&lt;500,"Low",IF(quick_commerce_orders[[#This Row],[order_value]]&gt;1500,"High","Moderate"))</f>
        <v>High</v>
      </c>
      <c r="I2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28" s="2" t="s">
        <v>28</v>
      </c>
      <c r="K228" s="2" t="s">
        <v>12</v>
      </c>
    </row>
    <row r="229" spans="1:11" x14ac:dyDescent="0.2">
      <c r="A229" s="2" t="s">
        <v>475</v>
      </c>
      <c r="B229" s="2" t="s">
        <v>476</v>
      </c>
      <c r="C229" s="2" t="s">
        <v>53</v>
      </c>
      <c r="D229" s="3">
        <v>46153.608877314815</v>
      </c>
      <c r="E229" s="3">
        <v>46153.620682870373</v>
      </c>
      <c r="F229" s="9">
        <f>IF($K229="cancelled"," ",(quick_commerce_orders[[#This Row],[delivery_time]]-quick_commerce_orders[[#This Row],[order_time]])*1440)</f>
        <v>17.000000003026798</v>
      </c>
      <c r="G229" s="2">
        <v>1675.64</v>
      </c>
      <c r="H229" s="2" t="str">
        <f>IF(quick_commerce_orders[[#This Row],[order_value]]&lt;500,"Low",IF(quick_commerce_orders[[#This Row],[order_value]]&gt;1500,"High","Moderate"))</f>
        <v>High</v>
      </c>
      <c r="I2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29" s="2" t="s">
        <v>80</v>
      </c>
      <c r="K229" s="2" t="s">
        <v>16</v>
      </c>
    </row>
    <row r="230" spans="1:11" x14ac:dyDescent="0.2">
      <c r="A230" s="2" t="s">
        <v>477</v>
      </c>
      <c r="B230" s="2" t="s">
        <v>478</v>
      </c>
      <c r="C230" s="2" t="s">
        <v>34</v>
      </c>
      <c r="D230" s="3">
        <v>46174.730636574073</v>
      </c>
      <c r="E230" s="3">
        <v>46174.743136574078</v>
      </c>
      <c r="F230" s="9">
        <f>IF($K230="cancelled"," ",(quick_commerce_orders[[#This Row],[delivery_time]]-quick_commerce_orders[[#This Row],[order_time]])*1440)</f>
        <v>18.000000006286427</v>
      </c>
      <c r="G230" s="2">
        <v>309.70999999999998</v>
      </c>
      <c r="H230" s="2" t="str">
        <f>IF(quick_commerce_orders[[#This Row],[order_value]]&lt;500,"Low",IF(quick_commerce_orders[[#This Row],[order_value]]&gt;1500,"High","Moderate"))</f>
        <v>Low</v>
      </c>
      <c r="I2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30" s="2" t="s">
        <v>15</v>
      </c>
      <c r="K230" s="2" t="s">
        <v>16</v>
      </c>
    </row>
    <row r="231" spans="1:11" x14ac:dyDescent="0.2">
      <c r="A231" s="2" t="s">
        <v>479</v>
      </c>
      <c r="B231" s="2" t="s">
        <v>480</v>
      </c>
      <c r="C231" s="2" t="s">
        <v>10</v>
      </c>
      <c r="D231" s="3">
        <v>46150.367754629631</v>
      </c>
      <c r="E231" s="3">
        <v>46150.377476851849</v>
      </c>
      <c r="F231" s="9">
        <f>IF($K231="cancelled"," ",(quick_commerce_orders[[#This Row],[delivery_time]]-quick_commerce_orders[[#This Row],[order_time]])*1440)</f>
        <v>13.999999993247911</v>
      </c>
      <c r="G231" s="2">
        <v>1016.3</v>
      </c>
      <c r="H231" s="2" t="str">
        <f>IF(quick_commerce_orders[[#This Row],[order_value]]&lt;500,"Low",IF(quick_commerce_orders[[#This Row],[order_value]]&gt;1500,"High","Moderate"))</f>
        <v>Moderate</v>
      </c>
      <c r="I2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31" s="2" t="s">
        <v>28</v>
      </c>
      <c r="K231" s="2" t="s">
        <v>16</v>
      </c>
    </row>
    <row r="232" spans="1:11" x14ac:dyDescent="0.2">
      <c r="A232" s="2" t="s">
        <v>481</v>
      </c>
      <c r="B232" s="2" t="s">
        <v>482</v>
      </c>
      <c r="C232" s="2" t="s">
        <v>27</v>
      </c>
      <c r="D232" s="3">
        <v>46166.745000000003</v>
      </c>
      <c r="E232" s="3">
        <v>46166.765138888892</v>
      </c>
      <c r="F232" s="9">
        <f>IF($K232="cancelled"," ",(quick_commerce_orders[[#This Row],[delivery_time]]-quick_commerce_orders[[#This Row],[order_time]])*1440)</f>
        <v>29.000000000232831</v>
      </c>
      <c r="G232" s="2">
        <v>2404.4499999999998</v>
      </c>
      <c r="H232" s="2" t="str">
        <f>IF(quick_commerce_orders[[#This Row],[order_value]]&lt;500,"Low",IF(quick_commerce_orders[[#This Row],[order_value]]&gt;1500,"High","Moderate"))</f>
        <v>High</v>
      </c>
      <c r="I2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32" s="2" t="s">
        <v>11</v>
      </c>
      <c r="K232" s="2" t="s">
        <v>12</v>
      </c>
    </row>
    <row r="233" spans="1:11" x14ac:dyDescent="0.2">
      <c r="A233" s="2" t="s">
        <v>483</v>
      </c>
      <c r="B233" s="2" t="s">
        <v>484</v>
      </c>
      <c r="C233" s="2" t="s">
        <v>75</v>
      </c>
      <c r="D233" s="3">
        <v>46145.978171296294</v>
      </c>
      <c r="E233" s="3">
        <v>46145.999699074076</v>
      </c>
      <c r="F233" s="9">
        <f>IF($K233="cancelled"," ",(quick_commerce_orders[[#This Row],[delivery_time]]-quick_commerce_orders[[#This Row],[order_time]])*1440)</f>
        <v>31.000000006752089</v>
      </c>
      <c r="G233" s="2">
        <v>1568.88</v>
      </c>
      <c r="H233" s="2" t="str">
        <f>IF(quick_commerce_orders[[#This Row],[order_value]]&lt;500,"Low",IF(quick_commerce_orders[[#This Row],[order_value]]&gt;1500,"High","Moderate"))</f>
        <v>High</v>
      </c>
      <c r="I2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33" s="2" t="s">
        <v>15</v>
      </c>
      <c r="K233" s="2" t="s">
        <v>12</v>
      </c>
    </row>
    <row r="234" spans="1:11" x14ac:dyDescent="0.2">
      <c r="A234" s="2" t="s">
        <v>485</v>
      </c>
      <c r="B234" s="2" t="s">
        <v>486</v>
      </c>
      <c r="C234" s="2" t="s">
        <v>34</v>
      </c>
      <c r="D234" s="3">
        <v>46156.546377314815</v>
      </c>
      <c r="E234" s="3"/>
      <c r="F234" s="9" t="str">
        <f>IF($K234="cancelled"," ",(quick_commerce_orders[[#This Row],[delivery_time]]-quick_commerce_orders[[#This Row],[order_time]])*1440)</f>
        <v xml:space="preserve"> </v>
      </c>
      <c r="G234" s="2">
        <v>1600.26</v>
      </c>
      <c r="H234" s="2" t="str">
        <f>IF(quick_commerce_orders[[#This Row],[order_value]]&lt;500,"Low",IF(quick_commerce_orders[[#This Row],[order_value]]&gt;1500,"High","Moderate"))</f>
        <v>High</v>
      </c>
      <c r="I2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34" s="2" t="s">
        <v>28</v>
      </c>
      <c r="K234" s="2" t="s">
        <v>58</v>
      </c>
    </row>
    <row r="235" spans="1:11" x14ac:dyDescent="0.2">
      <c r="A235" s="2" t="s">
        <v>487</v>
      </c>
      <c r="B235" s="2" t="s">
        <v>488</v>
      </c>
      <c r="C235" s="2" t="s">
        <v>27</v>
      </c>
      <c r="D235" s="3">
        <v>46158.413217592592</v>
      </c>
      <c r="E235" s="3">
        <v>46158.425717592596</v>
      </c>
      <c r="F235" s="9">
        <f>IF($K235="cancelled"," ",(quick_commerce_orders[[#This Row],[delivery_time]]-quick_commerce_orders[[#This Row],[order_time]])*1440)</f>
        <v>18.000000006286427</v>
      </c>
      <c r="G235" s="2">
        <v>644.83000000000004</v>
      </c>
      <c r="H235" s="2" t="str">
        <f>IF(quick_commerce_orders[[#This Row],[order_value]]&lt;500,"Low",IF(quick_commerce_orders[[#This Row],[order_value]]&gt;1500,"High","Moderate"))</f>
        <v>Moderate</v>
      </c>
      <c r="I2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35" s="2" t="s">
        <v>15</v>
      </c>
      <c r="K235" s="2" t="s">
        <v>16</v>
      </c>
    </row>
    <row r="236" spans="1:11" x14ac:dyDescent="0.2">
      <c r="A236" s="2" t="s">
        <v>489</v>
      </c>
      <c r="B236" s="2" t="s">
        <v>490</v>
      </c>
      <c r="C236" s="2" t="s">
        <v>27</v>
      </c>
      <c r="D236" s="3">
        <v>46171.349247685182</v>
      </c>
      <c r="E236" s="3">
        <v>46171.354803240742</v>
      </c>
      <c r="F236" s="9">
        <f>IF($K236="cancelled"," ",(quick_commerce_orders[[#This Row],[delivery_time]]-quick_commerce_orders[[#This Row],[order_time]])*1440)</f>
        <v>8.0000000051222742</v>
      </c>
      <c r="G236" s="2">
        <v>675.87</v>
      </c>
      <c r="H236" s="2" t="str">
        <f>IF(quick_commerce_orders[[#This Row],[order_value]]&lt;500,"Low",IF(quick_commerce_orders[[#This Row],[order_value]]&gt;1500,"High","Moderate"))</f>
        <v>Moderate</v>
      </c>
      <c r="I2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36" s="2" t="s">
        <v>15</v>
      </c>
      <c r="K236" s="2" t="s">
        <v>16</v>
      </c>
    </row>
    <row r="237" spans="1:11" x14ac:dyDescent="0.2">
      <c r="A237" s="2" t="s">
        <v>491</v>
      </c>
      <c r="B237" s="2" t="s">
        <v>492</v>
      </c>
      <c r="C237" s="2" t="s">
        <v>34</v>
      </c>
      <c r="D237" s="3">
        <v>46148.621608796297</v>
      </c>
      <c r="E237" s="3">
        <v>46148.663275462961</v>
      </c>
      <c r="F237" s="9">
        <f>IF($K237="cancelled"," ",(quick_commerce_orders[[#This Row],[delivery_time]]-quick_commerce_orders[[#This Row],[order_time]])*1440)</f>
        <v>59.99999999650754</v>
      </c>
      <c r="G237" s="2">
        <v>465.6</v>
      </c>
      <c r="H237" s="2" t="str">
        <f>IF(quick_commerce_orders[[#This Row],[order_value]]&lt;500,"Low",IF(quick_commerce_orders[[#This Row],[order_value]]&gt;1500,"High","Moderate"))</f>
        <v>Low</v>
      </c>
      <c r="I2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37" s="2" t="s">
        <v>28</v>
      </c>
      <c r="K237" s="2" t="s">
        <v>12</v>
      </c>
    </row>
    <row r="238" spans="1:11" x14ac:dyDescent="0.2">
      <c r="A238" s="2" t="s">
        <v>493</v>
      </c>
      <c r="B238" s="2" t="s">
        <v>494</v>
      </c>
      <c r="C238" s="2" t="s">
        <v>19</v>
      </c>
      <c r="D238" s="3">
        <v>46158.285960648151</v>
      </c>
      <c r="E238" s="3">
        <v>46158.291516203702</v>
      </c>
      <c r="F238" s="9">
        <f>IF($K238="cancelled"," ",(quick_commerce_orders[[#This Row],[delivery_time]]-quick_commerce_orders[[#This Row],[order_time]])*1440)</f>
        <v>7.9999999946448952</v>
      </c>
      <c r="G238" s="2">
        <v>2428.29</v>
      </c>
      <c r="H238" s="2" t="str">
        <f>IF(quick_commerce_orders[[#This Row],[order_value]]&lt;500,"Low",IF(quick_commerce_orders[[#This Row],[order_value]]&gt;1500,"High","Moderate"))</f>
        <v>High</v>
      </c>
      <c r="I2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38" s="2" t="s">
        <v>39</v>
      </c>
      <c r="K238" s="2" t="s">
        <v>16</v>
      </c>
    </row>
    <row r="239" spans="1:11" x14ac:dyDescent="0.2">
      <c r="A239" s="2" t="s">
        <v>495</v>
      </c>
      <c r="B239" s="2" t="s">
        <v>496</v>
      </c>
      <c r="C239" s="2" t="s">
        <v>19</v>
      </c>
      <c r="D239" s="3">
        <v>46165.944212962961</v>
      </c>
      <c r="E239" s="3">
        <v>46165.974074074074</v>
      </c>
      <c r="F239" s="9">
        <f>IF($K239="cancelled"," ",(quick_commerce_orders[[#This Row],[delivery_time]]-quick_commerce_orders[[#This Row],[order_time]])*1440)</f>
        <v>43.000000003958121</v>
      </c>
      <c r="G239" s="2">
        <v>2282.36</v>
      </c>
      <c r="H239" s="2" t="str">
        <f>IF(quick_commerce_orders[[#This Row],[order_value]]&lt;500,"Low",IF(quick_commerce_orders[[#This Row],[order_value]]&gt;1500,"High","Moderate"))</f>
        <v>High</v>
      </c>
      <c r="I2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39" s="2" t="s">
        <v>20</v>
      </c>
      <c r="K239" s="2" t="s">
        <v>12</v>
      </c>
    </row>
    <row r="240" spans="1:11" x14ac:dyDescent="0.2">
      <c r="A240" s="2" t="s">
        <v>497</v>
      </c>
      <c r="B240" s="2" t="s">
        <v>498</v>
      </c>
      <c r="C240" s="2" t="s">
        <v>53</v>
      </c>
      <c r="D240" s="3">
        <v>46170.235509259262</v>
      </c>
      <c r="E240" s="3">
        <v>46170.269537037035</v>
      </c>
      <c r="F240" s="9">
        <f>IF($K240="cancelled"," ",(quick_commerce_orders[[#This Row],[delivery_time]]-quick_commerce_orders[[#This Row],[order_time]])*1440)</f>
        <v>48.999999992083758</v>
      </c>
      <c r="G240" s="2">
        <v>889.28</v>
      </c>
      <c r="H240" s="2" t="str">
        <f>IF(quick_commerce_orders[[#This Row],[order_value]]&lt;500,"Low",IF(quick_commerce_orders[[#This Row],[order_value]]&gt;1500,"High","Moderate"))</f>
        <v>Moderate</v>
      </c>
      <c r="I2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40" s="2" t="s">
        <v>15</v>
      </c>
      <c r="K240" s="2" t="s">
        <v>12</v>
      </c>
    </row>
    <row r="241" spans="1:11" x14ac:dyDescent="0.2">
      <c r="A241" s="2" t="s">
        <v>499</v>
      </c>
      <c r="B241" s="2" t="s">
        <v>500</v>
      </c>
      <c r="C241" s="2" t="s">
        <v>34</v>
      </c>
      <c r="D241" s="3">
        <v>46156.285451388889</v>
      </c>
      <c r="E241" s="3">
        <v>46156.320173611108</v>
      </c>
      <c r="F241" s="9">
        <f>IF($K241="cancelled"," ",(quick_commerce_orders[[#This Row],[delivery_time]]-quick_commerce_orders[[#This Row],[order_time]])*1440)</f>
        <v>49.999999995343387</v>
      </c>
      <c r="G241" s="2">
        <v>1400.36</v>
      </c>
      <c r="H241" s="2" t="str">
        <f>IF(quick_commerce_orders[[#This Row],[order_value]]&lt;500,"Low",IF(quick_commerce_orders[[#This Row],[order_value]]&gt;1500,"High","Moderate"))</f>
        <v>Moderate</v>
      </c>
      <c r="I2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41" s="2" t="s">
        <v>20</v>
      </c>
      <c r="K241" s="2" t="s">
        <v>12</v>
      </c>
    </row>
    <row r="242" spans="1:11" x14ac:dyDescent="0.2">
      <c r="A242" s="2" t="s">
        <v>501</v>
      </c>
      <c r="B242" s="2" t="s">
        <v>502</v>
      </c>
      <c r="C242" s="2" t="s">
        <v>34</v>
      </c>
      <c r="D242" s="3">
        <v>46165.720578703702</v>
      </c>
      <c r="E242" s="3">
        <v>46165.7268287037</v>
      </c>
      <c r="F242" s="9">
        <f>IF($K242="cancelled"," ",(quick_commerce_orders[[#This Row],[delivery_time]]-quick_commerce_orders[[#This Row],[order_time]])*1440)</f>
        <v>8.9999999979045242</v>
      </c>
      <c r="G242" s="2">
        <v>595.22</v>
      </c>
      <c r="H242" s="2" t="str">
        <f>IF(quick_commerce_orders[[#This Row],[order_value]]&lt;500,"Low",IF(quick_commerce_orders[[#This Row],[order_value]]&gt;1500,"High","Moderate"))</f>
        <v>Moderate</v>
      </c>
      <c r="I2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42" s="2" t="s">
        <v>28</v>
      </c>
      <c r="K242" s="2" t="s">
        <v>16</v>
      </c>
    </row>
    <row r="243" spans="1:11" x14ac:dyDescent="0.2">
      <c r="A243" s="2" t="s">
        <v>503</v>
      </c>
      <c r="B243" s="2" t="s">
        <v>504</v>
      </c>
      <c r="C243" s="2" t="s">
        <v>53</v>
      </c>
      <c r="D243" s="3">
        <v>46153.448125000003</v>
      </c>
      <c r="E243" s="3">
        <v>46153.459930555553</v>
      </c>
      <c r="F243" s="9">
        <f>IF($K243="cancelled"," ",(quick_commerce_orders[[#This Row],[delivery_time]]-quick_commerce_orders[[#This Row],[order_time]])*1440)</f>
        <v>16.999999992549419</v>
      </c>
      <c r="G243" s="2">
        <v>431.58</v>
      </c>
      <c r="H243" s="2" t="str">
        <f>IF(quick_commerce_orders[[#This Row],[order_value]]&lt;500,"Low",IF(quick_commerce_orders[[#This Row],[order_value]]&gt;1500,"High","Moderate"))</f>
        <v>Low</v>
      </c>
      <c r="I2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43" s="2" t="s">
        <v>15</v>
      </c>
      <c r="K243" s="2" t="s">
        <v>16</v>
      </c>
    </row>
    <row r="244" spans="1:11" x14ac:dyDescent="0.2">
      <c r="A244" s="2" t="s">
        <v>505</v>
      </c>
      <c r="B244" s="2" t="s">
        <v>506</v>
      </c>
      <c r="C244" s="2" t="s">
        <v>53</v>
      </c>
      <c r="D244" s="3">
        <v>46161.762430555558</v>
      </c>
      <c r="E244" s="3">
        <v>46161.776319444441</v>
      </c>
      <c r="F244" s="9">
        <f>IF($K244="cancelled"," ",(quick_commerce_orders[[#This Row],[delivery_time]]-quick_commerce_orders[[#This Row],[order_time]])*1440)</f>
        <v>19.999999991850927</v>
      </c>
      <c r="G244" s="2">
        <v>1398.25</v>
      </c>
      <c r="H244" s="2" t="str">
        <f>IF(quick_commerce_orders[[#This Row],[order_value]]&lt;500,"Low",IF(quick_commerce_orders[[#This Row],[order_value]]&gt;1500,"High","Moderate"))</f>
        <v>Moderate</v>
      </c>
      <c r="I2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44" s="2" t="s">
        <v>20</v>
      </c>
      <c r="K244" s="2" t="s">
        <v>16</v>
      </c>
    </row>
    <row r="245" spans="1:11" x14ac:dyDescent="0.2">
      <c r="A245" s="2" t="s">
        <v>507</v>
      </c>
      <c r="B245" s="2" t="s">
        <v>508</v>
      </c>
      <c r="C245" s="2" t="s">
        <v>31</v>
      </c>
      <c r="D245" s="3">
        <v>46149.200578703705</v>
      </c>
      <c r="E245" s="3">
        <v>46149.210300925923</v>
      </c>
      <c r="F245" s="9">
        <f>IF($K245="cancelled"," ",(quick_commerce_orders[[#This Row],[delivery_time]]-quick_commerce_orders[[#This Row],[order_time]])*1440)</f>
        <v>13.999999993247911</v>
      </c>
      <c r="G245" s="2">
        <v>2019.25</v>
      </c>
      <c r="H245" s="2" t="str">
        <f>IF(quick_commerce_orders[[#This Row],[order_value]]&lt;500,"Low",IF(quick_commerce_orders[[#This Row],[order_value]]&gt;1500,"High","Moderate"))</f>
        <v>High</v>
      </c>
      <c r="I2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45" s="2" t="s">
        <v>20</v>
      </c>
      <c r="K245" s="2" t="s">
        <v>16</v>
      </c>
    </row>
    <row r="246" spans="1:11" x14ac:dyDescent="0.2">
      <c r="A246" s="2" t="s">
        <v>509</v>
      </c>
      <c r="B246" s="2" t="s">
        <v>510</v>
      </c>
      <c r="C246" s="2" t="s">
        <v>42</v>
      </c>
      <c r="D246" s="3">
        <v>46169.054108796299</v>
      </c>
      <c r="E246" s="3">
        <v>46169.081192129626</v>
      </c>
      <c r="F246" s="9">
        <f>IF($K246="cancelled"," ",(quick_commerce_orders[[#This Row],[delivery_time]]-quick_commerce_orders[[#This Row],[order_time]])*1440)</f>
        <v>38.999999990919605</v>
      </c>
      <c r="G246" s="2">
        <v>2169.21</v>
      </c>
      <c r="H246" s="2" t="str">
        <f>IF(quick_commerce_orders[[#This Row],[order_value]]&lt;500,"Low",IF(quick_commerce_orders[[#This Row],[order_value]]&gt;1500,"High","Moderate"))</f>
        <v>High</v>
      </c>
      <c r="I2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46" s="2" t="s">
        <v>80</v>
      </c>
      <c r="K246" s="2" t="s">
        <v>12</v>
      </c>
    </row>
    <row r="247" spans="1:11" x14ac:dyDescent="0.2">
      <c r="A247" s="2" t="s">
        <v>511</v>
      </c>
      <c r="B247" s="2" t="s">
        <v>512</v>
      </c>
      <c r="C247" s="2" t="s">
        <v>53</v>
      </c>
      <c r="D247" s="3">
        <v>46151.954953703702</v>
      </c>
      <c r="E247" s="3">
        <v>46151.96675925926</v>
      </c>
      <c r="F247" s="9">
        <f>IF($K247="cancelled"," ",(quick_commerce_orders[[#This Row],[delivery_time]]-quick_commerce_orders[[#This Row],[order_time]])*1440)</f>
        <v>17.000000003026798</v>
      </c>
      <c r="G247" s="2">
        <v>840.6</v>
      </c>
      <c r="H247" s="2" t="str">
        <f>IF(quick_commerce_orders[[#This Row],[order_value]]&lt;500,"Low",IF(quick_commerce_orders[[#This Row],[order_value]]&gt;1500,"High","Moderate"))</f>
        <v>Moderate</v>
      </c>
      <c r="I2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47" s="2" t="s">
        <v>39</v>
      </c>
      <c r="K247" s="2" t="s">
        <v>16</v>
      </c>
    </row>
    <row r="248" spans="1:11" x14ac:dyDescent="0.2">
      <c r="A248" s="2" t="s">
        <v>513</v>
      </c>
      <c r="B248" s="2" t="s">
        <v>514</v>
      </c>
      <c r="C248" s="2" t="s">
        <v>42</v>
      </c>
      <c r="D248" s="3">
        <v>46158.198148148149</v>
      </c>
      <c r="E248" s="3">
        <v>46158.212037037039</v>
      </c>
      <c r="F248" s="9">
        <f>IF($K248="cancelled"," ",(quick_commerce_orders[[#This Row],[delivery_time]]-quick_commerce_orders[[#This Row],[order_time]])*1440)</f>
        <v>20.000000002328306</v>
      </c>
      <c r="G248" s="2">
        <v>1791.33</v>
      </c>
      <c r="H248" s="2" t="str">
        <f>IF(quick_commerce_orders[[#This Row],[order_value]]&lt;500,"Low",IF(quick_commerce_orders[[#This Row],[order_value]]&gt;1500,"High","Moderate"))</f>
        <v>High</v>
      </c>
      <c r="I2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48" s="2" t="s">
        <v>11</v>
      </c>
      <c r="K248" s="2" t="s">
        <v>16</v>
      </c>
    </row>
    <row r="249" spans="1:11" x14ac:dyDescent="0.2">
      <c r="A249" s="2" t="s">
        <v>515</v>
      </c>
      <c r="B249" s="2" t="s">
        <v>516</v>
      </c>
      <c r="C249" s="2" t="s">
        <v>75</v>
      </c>
      <c r="D249" s="3">
        <v>46158.89271990741</v>
      </c>
      <c r="E249" s="3">
        <v>46158.905219907407</v>
      </c>
      <c r="F249" s="9">
        <f>IF($K249="cancelled"," ",(quick_commerce_orders[[#This Row],[delivery_time]]-quick_commerce_orders[[#This Row],[order_time]])*1440)</f>
        <v>17.999999995809048</v>
      </c>
      <c r="G249" s="2">
        <v>1356.13</v>
      </c>
      <c r="H249" s="2" t="str">
        <f>IF(quick_commerce_orders[[#This Row],[order_value]]&lt;500,"Low",IF(quick_commerce_orders[[#This Row],[order_value]]&gt;1500,"High","Moderate"))</f>
        <v>Moderate</v>
      </c>
      <c r="I2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49" s="2" t="s">
        <v>20</v>
      </c>
      <c r="K249" s="2" t="s">
        <v>16</v>
      </c>
    </row>
    <row r="250" spans="1:11" x14ac:dyDescent="0.2">
      <c r="A250" s="2" t="s">
        <v>517</v>
      </c>
      <c r="B250" s="2" t="s">
        <v>518</v>
      </c>
      <c r="C250" s="2" t="s">
        <v>31</v>
      </c>
      <c r="D250" s="3">
        <v>46152.777974537035</v>
      </c>
      <c r="E250" s="3">
        <v>46152.789780092593</v>
      </c>
      <c r="F250" s="9">
        <f>IF($K250="cancelled"," ",(quick_commerce_orders[[#This Row],[delivery_time]]-quick_commerce_orders[[#This Row],[order_time]])*1440)</f>
        <v>17.000000003026798</v>
      </c>
      <c r="G250" s="2">
        <v>423.61</v>
      </c>
      <c r="H250" s="2" t="str">
        <f>IF(quick_commerce_orders[[#This Row],[order_value]]&lt;500,"Low",IF(quick_commerce_orders[[#This Row],[order_value]]&gt;1500,"High","Moderate"))</f>
        <v>Low</v>
      </c>
      <c r="I2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0" s="2" t="s">
        <v>11</v>
      </c>
      <c r="K250" s="2" t="s">
        <v>16</v>
      </c>
    </row>
    <row r="251" spans="1:11" x14ac:dyDescent="0.2">
      <c r="A251" s="2" t="s">
        <v>519</v>
      </c>
      <c r="B251" s="2" t="s">
        <v>520</v>
      </c>
      <c r="C251" s="2" t="s">
        <v>19</v>
      </c>
      <c r="D251" s="3">
        <v>46169.519490740742</v>
      </c>
      <c r="E251" s="3">
        <v>46169.525046296294</v>
      </c>
      <c r="F251" s="9">
        <f>IF($K251="cancelled"," ",(quick_commerce_orders[[#This Row],[delivery_time]]-quick_commerce_orders[[#This Row],[order_time]])*1440)</f>
        <v>7.9999999946448952</v>
      </c>
      <c r="G251" s="2">
        <v>2488.65</v>
      </c>
      <c r="H251" s="2" t="str">
        <f>IF(quick_commerce_orders[[#This Row],[order_value]]&lt;500,"Low",IF(quick_commerce_orders[[#This Row],[order_value]]&gt;1500,"High","Moderate"))</f>
        <v>High</v>
      </c>
      <c r="I2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1" s="2" t="s">
        <v>28</v>
      </c>
      <c r="K251" s="2" t="s">
        <v>16</v>
      </c>
    </row>
    <row r="252" spans="1:11" x14ac:dyDescent="0.2">
      <c r="A252" s="2" t="s">
        <v>521</v>
      </c>
      <c r="B252" s="2" t="s">
        <v>522</v>
      </c>
      <c r="C252" s="2" t="s">
        <v>75</v>
      </c>
      <c r="D252" s="3">
        <v>46148.522766203707</v>
      </c>
      <c r="E252" s="3">
        <v>46148.533182870371</v>
      </c>
      <c r="F252" s="9">
        <f>IF($K252="cancelled"," ",(quick_commerce_orders[[#This Row],[delivery_time]]-quick_commerce_orders[[#This Row],[order_time]])*1440)</f>
        <v>14.99999999650754</v>
      </c>
      <c r="G252" s="2">
        <v>2440.86</v>
      </c>
      <c r="H252" s="2" t="str">
        <f>IF(quick_commerce_orders[[#This Row],[order_value]]&lt;500,"Low",IF(quick_commerce_orders[[#This Row],[order_value]]&gt;1500,"High","Moderate"))</f>
        <v>High</v>
      </c>
      <c r="I2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2" s="2" t="s">
        <v>28</v>
      </c>
      <c r="K252" s="2" t="s">
        <v>16</v>
      </c>
    </row>
    <row r="253" spans="1:11" x14ac:dyDescent="0.2">
      <c r="A253" s="2" t="s">
        <v>523</v>
      </c>
      <c r="B253" s="2" t="s">
        <v>524</v>
      </c>
      <c r="C253" s="2" t="s">
        <v>34</v>
      </c>
      <c r="D253" s="3">
        <v>46160.958287037036</v>
      </c>
      <c r="E253" s="3">
        <v>46160.968009259261</v>
      </c>
      <c r="F253" s="9">
        <f>IF($K253="cancelled"," ",(quick_commerce_orders[[#This Row],[delivery_time]]-quick_commerce_orders[[#This Row],[order_time]])*1440)</f>
        <v>14.00000000372529</v>
      </c>
      <c r="G253" s="2">
        <v>447.37</v>
      </c>
      <c r="H253" s="2" t="str">
        <f>IF(quick_commerce_orders[[#This Row],[order_value]]&lt;500,"Low",IF(quick_commerce_orders[[#This Row],[order_value]]&gt;1500,"High","Moderate"))</f>
        <v>Low</v>
      </c>
      <c r="I2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3" s="2" t="s">
        <v>80</v>
      </c>
      <c r="K253" s="2" t="s">
        <v>16</v>
      </c>
    </row>
    <row r="254" spans="1:11" x14ac:dyDescent="0.2">
      <c r="A254" s="2" t="s">
        <v>525</v>
      </c>
      <c r="B254" s="2" t="s">
        <v>526</v>
      </c>
      <c r="C254" s="2" t="s">
        <v>19</v>
      </c>
      <c r="D254" s="3">
        <v>46166.605092592596</v>
      </c>
      <c r="E254" s="3">
        <v>46166.61550925926</v>
      </c>
      <c r="F254" s="9">
        <f>IF($K254="cancelled"," ",(quick_commerce_orders[[#This Row],[delivery_time]]-quick_commerce_orders[[#This Row],[order_time]])*1440)</f>
        <v>14.99999999650754</v>
      </c>
      <c r="G254" s="2">
        <v>2338.27</v>
      </c>
      <c r="H254" s="2" t="str">
        <f>IF(quick_commerce_orders[[#This Row],[order_value]]&lt;500,"Low",IF(quick_commerce_orders[[#This Row],[order_value]]&gt;1500,"High","Moderate"))</f>
        <v>High</v>
      </c>
      <c r="I2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4" s="2" t="s">
        <v>20</v>
      </c>
      <c r="K254" s="2" t="s">
        <v>16</v>
      </c>
    </row>
    <row r="255" spans="1:11" x14ac:dyDescent="0.2">
      <c r="A255" s="2" t="s">
        <v>527</v>
      </c>
      <c r="B255" s="2" t="s">
        <v>528</v>
      </c>
      <c r="C255" s="2" t="s">
        <v>53</v>
      </c>
      <c r="D255" s="3">
        <v>46143.962337962963</v>
      </c>
      <c r="E255" s="3">
        <v>46143.976226851853</v>
      </c>
      <c r="F255" s="9">
        <f>IF($K255="cancelled"," ",(quick_commerce_orders[[#This Row],[delivery_time]]-quick_commerce_orders[[#This Row],[order_time]])*1440)</f>
        <v>20.000000002328306</v>
      </c>
      <c r="G255" s="2">
        <v>2300.0700000000002</v>
      </c>
      <c r="H255" s="2" t="str">
        <f>IF(quick_commerce_orders[[#This Row],[order_value]]&lt;500,"Low",IF(quick_commerce_orders[[#This Row],[order_value]]&gt;1500,"High","Moderate"))</f>
        <v>High</v>
      </c>
      <c r="I2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5" s="2" t="s">
        <v>15</v>
      </c>
      <c r="K255" s="2" t="s">
        <v>16</v>
      </c>
    </row>
    <row r="256" spans="1:11" x14ac:dyDescent="0.2">
      <c r="A256" s="2" t="s">
        <v>529</v>
      </c>
      <c r="B256" s="2" t="s">
        <v>530</v>
      </c>
      <c r="C256" s="2" t="s">
        <v>53</v>
      </c>
      <c r="D256" s="3">
        <v>46172.863009259258</v>
      </c>
      <c r="E256" s="3">
        <v>46172.872731481482</v>
      </c>
      <c r="F256" s="9">
        <f>IF($K256="cancelled"," ",(quick_commerce_orders[[#This Row],[delivery_time]]-quick_commerce_orders[[#This Row],[order_time]])*1440)</f>
        <v>14.00000000372529</v>
      </c>
      <c r="G256" s="2">
        <v>860.99</v>
      </c>
      <c r="H256" s="2" t="str">
        <f>IF(quick_commerce_orders[[#This Row],[order_value]]&lt;500,"Low",IF(quick_commerce_orders[[#This Row],[order_value]]&gt;1500,"High","Moderate"))</f>
        <v>Moderate</v>
      </c>
      <c r="I2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6" s="2" t="s">
        <v>28</v>
      </c>
      <c r="K256" s="2" t="s">
        <v>16</v>
      </c>
    </row>
    <row r="257" spans="1:11" x14ac:dyDescent="0.2">
      <c r="A257" s="2" t="s">
        <v>531</v>
      </c>
      <c r="B257" s="2" t="s">
        <v>532</v>
      </c>
      <c r="C257" s="2" t="s">
        <v>10</v>
      </c>
      <c r="D257" s="3">
        <v>46165.118449074071</v>
      </c>
      <c r="E257" s="3">
        <v>46165.130254629628</v>
      </c>
      <c r="F257" s="9">
        <f>IF($K257="cancelled"," ",(quick_commerce_orders[[#This Row],[delivery_time]]-quick_commerce_orders[[#This Row],[order_time]])*1440)</f>
        <v>17.000000003026798</v>
      </c>
      <c r="G257" s="2">
        <v>1436.62</v>
      </c>
      <c r="H257" s="2" t="str">
        <f>IF(quick_commerce_orders[[#This Row],[order_value]]&lt;500,"Low",IF(quick_commerce_orders[[#This Row],[order_value]]&gt;1500,"High","Moderate"))</f>
        <v>Moderate</v>
      </c>
      <c r="I2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57" s="2" t="s">
        <v>15</v>
      </c>
      <c r="K257" s="2" t="s">
        <v>16</v>
      </c>
    </row>
    <row r="258" spans="1:11" x14ac:dyDescent="0.2">
      <c r="A258" s="2" t="s">
        <v>533</v>
      </c>
      <c r="B258" s="2" t="s">
        <v>534</v>
      </c>
      <c r="C258" s="2" t="s">
        <v>19</v>
      </c>
      <c r="D258" s="3">
        <v>46168.26935185185</v>
      </c>
      <c r="E258" s="3">
        <v>46168.281157407408</v>
      </c>
      <c r="F258" s="9">
        <f>IF($K258="cancelled"," ",(quick_commerce_orders[[#This Row],[delivery_time]]-quick_commerce_orders[[#This Row],[order_time]])*1440)</f>
        <v>17.000000003026798</v>
      </c>
      <c r="G258" s="2">
        <v>2375.64</v>
      </c>
      <c r="H258" s="2" t="str">
        <f>IF(quick_commerce_orders[[#This Row],[order_value]]&lt;500,"Low",IF(quick_commerce_orders[[#This Row],[order_value]]&gt;1500,"High","Moderate"))</f>
        <v>High</v>
      </c>
      <c r="I2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58" s="2" t="s">
        <v>28</v>
      </c>
      <c r="K258" s="2" t="s">
        <v>16</v>
      </c>
    </row>
    <row r="259" spans="1:11" x14ac:dyDescent="0.2">
      <c r="A259" s="2" t="s">
        <v>535</v>
      </c>
      <c r="B259" s="2" t="s">
        <v>536</v>
      </c>
      <c r="C259" s="2" t="s">
        <v>34</v>
      </c>
      <c r="D259" s="3">
        <v>46156.637037037035</v>
      </c>
      <c r="E259" s="3">
        <v>46156.643287037034</v>
      </c>
      <c r="F259" s="9">
        <f>IF($K259="cancelled"," ",(quick_commerce_orders[[#This Row],[delivery_time]]-quick_commerce_orders[[#This Row],[order_time]])*1440)</f>
        <v>8.9999999979045242</v>
      </c>
      <c r="G259" s="2">
        <v>383.13</v>
      </c>
      <c r="H259" s="2" t="str">
        <f>IF(quick_commerce_orders[[#This Row],[order_value]]&lt;500,"Low",IF(quick_commerce_orders[[#This Row],[order_value]]&gt;1500,"High","Moderate"))</f>
        <v>Low</v>
      </c>
      <c r="I2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59" s="2" t="s">
        <v>15</v>
      </c>
      <c r="K259" s="2" t="s">
        <v>16</v>
      </c>
    </row>
    <row r="260" spans="1:11" x14ac:dyDescent="0.2">
      <c r="A260" s="2" t="s">
        <v>537</v>
      </c>
      <c r="B260" s="2" t="s">
        <v>538</v>
      </c>
      <c r="C260" s="2" t="s">
        <v>10</v>
      </c>
      <c r="D260" s="3">
        <v>46161.441388888888</v>
      </c>
      <c r="E260" s="3">
        <v>46161.450416666667</v>
      </c>
      <c r="F260" s="9">
        <f>IF($K260="cancelled"," ",(quick_commerce_orders[[#This Row],[delivery_time]]-quick_commerce_orders[[#This Row],[order_time]])*1440)</f>
        <v>13.000000000465661</v>
      </c>
      <c r="G260" s="2">
        <v>861.23</v>
      </c>
      <c r="H260" s="2" t="str">
        <f>IF(quick_commerce_orders[[#This Row],[order_value]]&lt;500,"Low",IF(quick_commerce_orders[[#This Row],[order_value]]&gt;1500,"High","Moderate"))</f>
        <v>Moderate</v>
      </c>
      <c r="I2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60" s="2" t="s">
        <v>39</v>
      </c>
      <c r="K260" s="2" t="s">
        <v>16</v>
      </c>
    </row>
    <row r="261" spans="1:11" x14ac:dyDescent="0.2">
      <c r="A261" s="2" t="s">
        <v>539</v>
      </c>
      <c r="B261" s="2" t="s">
        <v>540</v>
      </c>
      <c r="C261" s="2" t="s">
        <v>19</v>
      </c>
      <c r="D261" s="3">
        <v>46151.787858796299</v>
      </c>
      <c r="E261" s="3"/>
      <c r="F261" s="9" t="str">
        <f>IF($K261="cancelled"," ",(quick_commerce_orders[[#This Row],[delivery_time]]-quick_commerce_orders[[#This Row],[order_time]])*1440)</f>
        <v xml:space="preserve"> </v>
      </c>
      <c r="G261" s="2">
        <v>2210.13</v>
      </c>
      <c r="H261" s="2" t="str">
        <f>IF(quick_commerce_orders[[#This Row],[order_value]]&lt;500,"Low",IF(quick_commerce_orders[[#This Row],[order_value]]&gt;1500,"High","Moderate"))</f>
        <v>High</v>
      </c>
      <c r="I2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61" s="2" t="s">
        <v>20</v>
      </c>
      <c r="K261" s="2" t="s">
        <v>58</v>
      </c>
    </row>
    <row r="262" spans="1:11" x14ac:dyDescent="0.2">
      <c r="A262" s="2" t="s">
        <v>541</v>
      </c>
      <c r="B262" s="2" t="s">
        <v>542</v>
      </c>
      <c r="C262" s="2" t="s">
        <v>31</v>
      </c>
      <c r="D262" s="3">
        <v>46164.908368055556</v>
      </c>
      <c r="E262" s="3">
        <v>46164.926423611112</v>
      </c>
      <c r="F262" s="9">
        <f>IF($K262="cancelled"," ",(quick_commerce_orders[[#This Row],[delivery_time]]-quick_commerce_orders[[#This Row],[order_time]])*1440)</f>
        <v>26.000000000931323</v>
      </c>
      <c r="G262" s="2">
        <v>1843.99</v>
      </c>
      <c r="H262" s="2" t="str">
        <f>IF(quick_commerce_orders[[#This Row],[order_value]]&lt;500,"Low",IF(quick_commerce_orders[[#This Row],[order_value]]&gt;1500,"High","Moderate"))</f>
        <v>High</v>
      </c>
      <c r="I2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62" s="2" t="s">
        <v>39</v>
      </c>
      <c r="K262" s="2" t="s">
        <v>12</v>
      </c>
    </row>
    <row r="263" spans="1:11" x14ac:dyDescent="0.2">
      <c r="A263" s="2" t="s">
        <v>543</v>
      </c>
      <c r="B263" s="2" t="s">
        <v>544</v>
      </c>
      <c r="C263" s="2" t="s">
        <v>34</v>
      </c>
      <c r="D263" s="3">
        <v>46145.153356481482</v>
      </c>
      <c r="E263" s="3">
        <v>46145.163773148146</v>
      </c>
      <c r="F263" s="9">
        <f>IF($K263="cancelled"," ",(quick_commerce_orders[[#This Row],[delivery_time]]-quick_commerce_orders[[#This Row],[order_time]])*1440)</f>
        <v>14.99999999650754</v>
      </c>
      <c r="G263" s="2">
        <v>1936.04</v>
      </c>
      <c r="H263" s="2" t="str">
        <f>IF(quick_commerce_orders[[#This Row],[order_value]]&lt;500,"Low",IF(quick_commerce_orders[[#This Row],[order_value]]&gt;1500,"High","Moderate"))</f>
        <v>High</v>
      </c>
      <c r="I2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63" s="2" t="s">
        <v>39</v>
      </c>
      <c r="K263" s="2" t="s">
        <v>16</v>
      </c>
    </row>
    <row r="264" spans="1:11" x14ac:dyDescent="0.2">
      <c r="A264" s="2" t="s">
        <v>545</v>
      </c>
      <c r="B264" s="2" t="s">
        <v>546</v>
      </c>
      <c r="C264" s="2" t="s">
        <v>19</v>
      </c>
      <c r="D264" s="3">
        <v>46172.005543981482</v>
      </c>
      <c r="E264" s="3">
        <v>46172.04582175926</v>
      </c>
      <c r="F264" s="9">
        <f>IF($K264="cancelled"," ",(quick_commerce_orders[[#This Row],[delivery_time]]-quick_commerce_orders[[#This Row],[order_time]])*1440)</f>
        <v>58.000000000465661</v>
      </c>
      <c r="G264" s="2">
        <v>2211.3200000000002</v>
      </c>
      <c r="H264" s="2" t="str">
        <f>IF(quick_commerce_orders[[#This Row],[order_value]]&lt;500,"Low",IF(quick_commerce_orders[[#This Row],[order_value]]&gt;1500,"High","Moderate"))</f>
        <v>High</v>
      </c>
      <c r="I2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64" s="2" t="s">
        <v>20</v>
      </c>
      <c r="K264" s="2" t="s">
        <v>12</v>
      </c>
    </row>
    <row r="265" spans="1:11" x14ac:dyDescent="0.2">
      <c r="A265" s="2" t="s">
        <v>547</v>
      </c>
      <c r="B265" s="2" t="s">
        <v>548</v>
      </c>
      <c r="C265" s="2" t="s">
        <v>19</v>
      </c>
      <c r="D265" s="3">
        <v>46153.603472222225</v>
      </c>
      <c r="E265" s="3">
        <v>46153.612500000003</v>
      </c>
      <c r="F265" s="9">
        <f>IF($K265="cancelled"," ",(quick_commerce_orders[[#This Row],[delivery_time]]-quick_commerce_orders[[#This Row],[order_time]])*1440)</f>
        <v>13.000000000465661</v>
      </c>
      <c r="G265" s="2">
        <v>1092.7</v>
      </c>
      <c r="H265" s="2" t="str">
        <f>IF(quick_commerce_orders[[#This Row],[order_value]]&lt;500,"Low",IF(quick_commerce_orders[[#This Row],[order_value]]&gt;1500,"High","Moderate"))</f>
        <v>Moderate</v>
      </c>
      <c r="I2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65" s="2" t="s">
        <v>11</v>
      </c>
      <c r="K265" s="2" t="s">
        <v>16</v>
      </c>
    </row>
    <row r="266" spans="1:11" x14ac:dyDescent="0.2">
      <c r="A266" s="2" t="s">
        <v>549</v>
      </c>
      <c r="B266" s="2" t="s">
        <v>550</v>
      </c>
      <c r="C266" s="2" t="s">
        <v>53</v>
      </c>
      <c r="D266" s="3">
        <v>46170.281226851854</v>
      </c>
      <c r="E266" s="3">
        <v>46170.293032407404</v>
      </c>
      <c r="F266" s="9">
        <f>IF($K266="cancelled"," ",(quick_commerce_orders[[#This Row],[delivery_time]]-quick_commerce_orders[[#This Row],[order_time]])*1440)</f>
        <v>16.999999992549419</v>
      </c>
      <c r="G266" s="2">
        <v>1086</v>
      </c>
      <c r="H266" s="2" t="str">
        <f>IF(quick_commerce_orders[[#This Row],[order_value]]&lt;500,"Low",IF(quick_commerce_orders[[#This Row],[order_value]]&gt;1500,"High","Moderate"))</f>
        <v>Moderate</v>
      </c>
      <c r="I2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66" s="2" t="s">
        <v>15</v>
      </c>
      <c r="K266" s="2" t="s">
        <v>16</v>
      </c>
    </row>
    <row r="267" spans="1:11" x14ac:dyDescent="0.2">
      <c r="A267" s="2" t="s">
        <v>551</v>
      </c>
      <c r="B267" s="2" t="s">
        <v>552</v>
      </c>
      <c r="C267" s="2" t="s">
        <v>31</v>
      </c>
      <c r="D267" s="3">
        <v>46151.846643518518</v>
      </c>
      <c r="E267" s="3">
        <v>46151.85428240741</v>
      </c>
      <c r="F267" s="9">
        <f>IF($K267="cancelled"," ",(quick_commerce_orders[[#This Row],[delivery_time]]-quick_commerce_orders[[#This Row],[order_time]])*1440)</f>
        <v>11.000000004423782</v>
      </c>
      <c r="G267" s="2">
        <v>1162.21</v>
      </c>
      <c r="H267" s="2" t="str">
        <f>IF(quick_commerce_orders[[#This Row],[order_value]]&lt;500,"Low",IF(quick_commerce_orders[[#This Row],[order_value]]&gt;1500,"High","Moderate"))</f>
        <v>Moderate</v>
      </c>
      <c r="I2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67" s="2" t="s">
        <v>39</v>
      </c>
      <c r="K267" s="2" t="s">
        <v>16</v>
      </c>
    </row>
    <row r="268" spans="1:11" x14ac:dyDescent="0.2">
      <c r="A268" s="2" t="s">
        <v>553</v>
      </c>
      <c r="B268" s="2" t="s">
        <v>554</v>
      </c>
      <c r="C268" s="2" t="s">
        <v>19</v>
      </c>
      <c r="D268" s="3">
        <v>46160.112071759257</v>
      </c>
      <c r="E268" s="3">
        <v>46160.118321759262</v>
      </c>
      <c r="F268" s="9">
        <f>IF($K268="cancelled"," ",(quick_commerce_orders[[#This Row],[delivery_time]]-quick_commerce_orders[[#This Row],[order_time]])*1440)</f>
        <v>9.0000000083819032</v>
      </c>
      <c r="G268" s="2">
        <v>2340.04</v>
      </c>
      <c r="H268" s="2" t="str">
        <f>IF(quick_commerce_orders[[#This Row],[order_value]]&lt;500,"Low",IF(quick_commerce_orders[[#This Row],[order_value]]&gt;1500,"High","Moderate"))</f>
        <v>High</v>
      </c>
      <c r="I2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68" s="2" t="s">
        <v>20</v>
      </c>
      <c r="K268" s="2" t="s">
        <v>16</v>
      </c>
    </row>
    <row r="269" spans="1:11" x14ac:dyDescent="0.2">
      <c r="A269" s="2" t="s">
        <v>555</v>
      </c>
      <c r="B269" s="2" t="s">
        <v>556</v>
      </c>
      <c r="C269" s="2" t="s">
        <v>31</v>
      </c>
      <c r="D269" s="3">
        <v>46159.099791666667</v>
      </c>
      <c r="E269" s="3">
        <v>46159.106041666666</v>
      </c>
      <c r="F269" s="9">
        <f>IF($K269="cancelled"," ",(quick_commerce_orders[[#This Row],[delivery_time]]-quick_commerce_orders[[#This Row],[order_time]])*1440)</f>
        <v>8.9999999979045242</v>
      </c>
      <c r="G269" s="2">
        <v>2244.91</v>
      </c>
      <c r="H269" s="2" t="str">
        <f>IF(quick_commerce_orders[[#This Row],[order_value]]&lt;500,"Low",IF(quick_commerce_orders[[#This Row],[order_value]]&gt;1500,"High","Moderate"))</f>
        <v>High</v>
      </c>
      <c r="I2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69" s="2" t="s">
        <v>15</v>
      </c>
      <c r="K269" s="2" t="s">
        <v>16</v>
      </c>
    </row>
    <row r="270" spans="1:11" x14ac:dyDescent="0.2">
      <c r="A270" s="2" t="s">
        <v>557</v>
      </c>
      <c r="B270" s="2" t="s">
        <v>558</v>
      </c>
      <c r="C270" s="2" t="s">
        <v>75</v>
      </c>
      <c r="D270" s="3">
        <v>46153.059490740743</v>
      </c>
      <c r="E270" s="3">
        <v>46153.065046296295</v>
      </c>
      <c r="F270" s="9">
        <f>IF($K270="cancelled"," ",(quick_commerce_orders[[#This Row],[delivery_time]]-quick_commerce_orders[[#This Row],[order_time]])*1440)</f>
        <v>7.9999999946448952</v>
      </c>
      <c r="G270" s="2">
        <v>2338.8000000000002</v>
      </c>
      <c r="H270" s="2" t="str">
        <f>IF(quick_commerce_orders[[#This Row],[order_value]]&lt;500,"Low",IF(quick_commerce_orders[[#This Row],[order_value]]&gt;1500,"High","Moderate"))</f>
        <v>High</v>
      </c>
      <c r="I2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70" s="2" t="s">
        <v>20</v>
      </c>
      <c r="K270" s="2" t="s">
        <v>16</v>
      </c>
    </row>
    <row r="271" spans="1:11" x14ac:dyDescent="0.2">
      <c r="A271" s="2" t="s">
        <v>559</v>
      </c>
      <c r="B271" s="2" t="s">
        <v>560</v>
      </c>
      <c r="C271" s="2" t="s">
        <v>31</v>
      </c>
      <c r="D271" s="3">
        <v>46162.989444444444</v>
      </c>
      <c r="E271" s="3">
        <v>46163.001250000001</v>
      </c>
      <c r="F271" s="9">
        <f>IF($K271="cancelled"," ",(quick_commerce_orders[[#This Row],[delivery_time]]-quick_commerce_orders[[#This Row],[order_time]])*1440)</f>
        <v>17.000000003026798</v>
      </c>
      <c r="G271" s="2">
        <v>756.11</v>
      </c>
      <c r="H271" s="2" t="str">
        <f>IF(quick_commerce_orders[[#This Row],[order_value]]&lt;500,"Low",IF(quick_commerce_orders[[#This Row],[order_value]]&gt;1500,"High","Moderate"))</f>
        <v>Moderate</v>
      </c>
      <c r="I2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71" s="2" t="s">
        <v>20</v>
      </c>
      <c r="K271" s="2" t="s">
        <v>16</v>
      </c>
    </row>
    <row r="272" spans="1:11" x14ac:dyDescent="0.2">
      <c r="A272" s="2" t="s">
        <v>561</v>
      </c>
      <c r="B272" s="2" t="s">
        <v>562</v>
      </c>
      <c r="C272" s="2" t="s">
        <v>42</v>
      </c>
      <c r="D272" s="3">
        <v>46157.570196759261</v>
      </c>
      <c r="E272" s="3">
        <v>46157.59033564815</v>
      </c>
      <c r="F272" s="9">
        <f>IF($K272="cancelled"," ",(quick_commerce_orders[[#This Row],[delivery_time]]-quick_commerce_orders[[#This Row],[order_time]])*1440)</f>
        <v>29.000000000232831</v>
      </c>
      <c r="G272" s="2">
        <v>1968.86</v>
      </c>
      <c r="H272" s="2" t="str">
        <f>IF(quick_commerce_orders[[#This Row],[order_value]]&lt;500,"Low",IF(quick_commerce_orders[[#This Row],[order_value]]&gt;1500,"High","Moderate"))</f>
        <v>High</v>
      </c>
      <c r="I2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72" s="2" t="s">
        <v>11</v>
      </c>
      <c r="K272" s="2" t="s">
        <v>12</v>
      </c>
    </row>
    <row r="273" spans="1:11" x14ac:dyDescent="0.2">
      <c r="A273" s="2" t="s">
        <v>563</v>
      </c>
      <c r="B273" s="2" t="s">
        <v>564</v>
      </c>
      <c r="C273" s="2" t="s">
        <v>34</v>
      </c>
      <c r="D273" s="3">
        <v>46149.009375000001</v>
      </c>
      <c r="E273" s="3">
        <v>46149.021180555559</v>
      </c>
      <c r="F273" s="9">
        <f>IF($K273="cancelled"," ",(quick_commerce_orders[[#This Row],[delivery_time]]-quick_commerce_orders[[#This Row],[order_time]])*1440)</f>
        <v>17.000000003026798</v>
      </c>
      <c r="G273" s="2">
        <v>355.25</v>
      </c>
      <c r="H273" s="2" t="str">
        <f>IF(quick_commerce_orders[[#This Row],[order_value]]&lt;500,"Low",IF(quick_commerce_orders[[#This Row],[order_value]]&gt;1500,"High","Moderate"))</f>
        <v>Low</v>
      </c>
      <c r="I2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73" s="2" t="s">
        <v>39</v>
      </c>
      <c r="K273" s="2" t="s">
        <v>16</v>
      </c>
    </row>
    <row r="274" spans="1:11" x14ac:dyDescent="0.2">
      <c r="A274" s="2" t="s">
        <v>565</v>
      </c>
      <c r="B274" s="2" t="s">
        <v>566</v>
      </c>
      <c r="C274" s="2" t="s">
        <v>53</v>
      </c>
      <c r="D274" s="3">
        <v>46147.192523148151</v>
      </c>
      <c r="E274" s="3">
        <v>46147.206412037034</v>
      </c>
      <c r="F274" s="9">
        <f>IF($K274="cancelled"," ",(quick_commerce_orders[[#This Row],[delivery_time]]-quick_commerce_orders[[#This Row],[order_time]])*1440)</f>
        <v>19.999999991850927</v>
      </c>
      <c r="G274" s="2">
        <v>542.39</v>
      </c>
      <c r="H274" s="2" t="str">
        <f>IF(quick_commerce_orders[[#This Row],[order_value]]&lt;500,"Low",IF(quick_commerce_orders[[#This Row],[order_value]]&gt;1500,"High","Moderate"))</f>
        <v>Moderate</v>
      </c>
      <c r="I2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74" s="2" t="s">
        <v>20</v>
      </c>
      <c r="K274" s="2" t="s">
        <v>16</v>
      </c>
    </row>
    <row r="275" spans="1:11" x14ac:dyDescent="0.2">
      <c r="A275" s="2" t="s">
        <v>567</v>
      </c>
      <c r="B275" s="2" t="s">
        <v>568</v>
      </c>
      <c r="C275" s="2" t="s">
        <v>53</v>
      </c>
      <c r="D275" s="3">
        <v>46171.000509259262</v>
      </c>
      <c r="E275" s="3">
        <v>46171.008148148147</v>
      </c>
      <c r="F275" s="9">
        <f>IF($K275="cancelled"," ",(quick_commerce_orders[[#This Row],[delivery_time]]-quick_commerce_orders[[#This Row],[order_time]])*1440)</f>
        <v>10.999999993946403</v>
      </c>
      <c r="G275" s="2">
        <v>1928.87</v>
      </c>
      <c r="H275" s="2" t="str">
        <f>IF(quick_commerce_orders[[#This Row],[order_value]]&lt;500,"Low",IF(quick_commerce_orders[[#This Row],[order_value]]&gt;1500,"High","Moderate"))</f>
        <v>High</v>
      </c>
      <c r="I2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75" s="2" t="s">
        <v>20</v>
      </c>
      <c r="K275" s="2" t="s">
        <v>16</v>
      </c>
    </row>
    <row r="276" spans="1:11" x14ac:dyDescent="0.2">
      <c r="A276" s="2" t="s">
        <v>569</v>
      </c>
      <c r="B276" s="2" t="s">
        <v>570</v>
      </c>
      <c r="C276" s="2" t="s">
        <v>53</v>
      </c>
      <c r="D276" s="3">
        <v>46164.163506944446</v>
      </c>
      <c r="E276" s="3">
        <v>46164.175312500003</v>
      </c>
      <c r="F276" s="9">
        <f>IF($K276="cancelled"," ",(quick_commerce_orders[[#This Row],[delivery_time]]-quick_commerce_orders[[#This Row],[order_time]])*1440)</f>
        <v>17.000000003026798</v>
      </c>
      <c r="G276" s="2">
        <v>1567.76</v>
      </c>
      <c r="H276" s="2" t="str">
        <f>IF(quick_commerce_orders[[#This Row],[order_value]]&lt;500,"Low",IF(quick_commerce_orders[[#This Row],[order_value]]&gt;1500,"High","Moderate"))</f>
        <v>High</v>
      </c>
      <c r="I2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76" s="2" t="s">
        <v>28</v>
      </c>
      <c r="K276" s="2" t="s">
        <v>16</v>
      </c>
    </row>
    <row r="277" spans="1:11" x14ac:dyDescent="0.2">
      <c r="A277" s="2" t="s">
        <v>571</v>
      </c>
      <c r="B277" s="2" t="s">
        <v>572</v>
      </c>
      <c r="C277" s="2" t="s">
        <v>53</v>
      </c>
      <c r="D277" s="3">
        <v>46151.627939814818</v>
      </c>
      <c r="E277" s="3">
        <v>46151.650856481479</v>
      </c>
      <c r="F277" s="9">
        <f>IF($K277="cancelled"," ",(quick_commerce_orders[[#This Row],[delivery_time]]-quick_commerce_orders[[#This Row],[order_time]])*1440)</f>
        <v>32.999999992316589</v>
      </c>
      <c r="G277" s="2">
        <v>739.47</v>
      </c>
      <c r="H277" s="2" t="str">
        <f>IF(quick_commerce_orders[[#This Row],[order_value]]&lt;500,"Low",IF(quick_commerce_orders[[#This Row],[order_value]]&gt;1500,"High","Moderate"))</f>
        <v>Moderate</v>
      </c>
      <c r="I2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77" s="2" t="s">
        <v>39</v>
      </c>
      <c r="K277" s="2" t="s">
        <v>12</v>
      </c>
    </row>
    <row r="278" spans="1:11" x14ac:dyDescent="0.2">
      <c r="A278" s="2" t="s">
        <v>573</v>
      </c>
      <c r="B278" s="2" t="s">
        <v>574</v>
      </c>
      <c r="C278" s="2" t="s">
        <v>19</v>
      </c>
      <c r="D278" s="3">
        <v>46167.115868055553</v>
      </c>
      <c r="E278" s="3"/>
      <c r="F278" s="9" t="str">
        <f>IF($K278="cancelled"," ",(quick_commerce_orders[[#This Row],[delivery_time]]-quick_commerce_orders[[#This Row],[order_time]])*1440)</f>
        <v xml:space="preserve"> </v>
      </c>
      <c r="G278" s="2">
        <v>1459.9</v>
      </c>
      <c r="H278" s="2" t="str">
        <f>IF(quick_commerce_orders[[#This Row],[order_value]]&lt;500,"Low",IF(quick_commerce_orders[[#This Row],[order_value]]&gt;1500,"High","Moderate"))</f>
        <v>Moderate</v>
      </c>
      <c r="I2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78" s="2" t="s">
        <v>15</v>
      </c>
      <c r="K278" s="2" t="s">
        <v>58</v>
      </c>
    </row>
    <row r="279" spans="1:11" x14ac:dyDescent="0.2">
      <c r="A279" s="2" t="s">
        <v>575</v>
      </c>
      <c r="B279" s="2" t="s">
        <v>576</v>
      </c>
      <c r="C279" s="2" t="s">
        <v>53</v>
      </c>
      <c r="D279" s="3">
        <v>46149.139155092591</v>
      </c>
      <c r="E279" s="3">
        <v>46149.178738425922</v>
      </c>
      <c r="F279" s="9">
        <f>IF($K279="cancelled"," ",(quick_commerce_orders[[#This Row],[delivery_time]]-quick_commerce_orders[[#This Row],[order_time]])*1440)</f>
        <v>56.999999997206032</v>
      </c>
      <c r="G279" s="2">
        <v>653.19000000000005</v>
      </c>
      <c r="H279" s="2" t="str">
        <f>IF(quick_commerce_orders[[#This Row],[order_value]]&lt;500,"Low",IF(quick_commerce_orders[[#This Row],[order_value]]&gt;1500,"High","Moderate"))</f>
        <v>Moderate</v>
      </c>
      <c r="I2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79" s="2" t="s">
        <v>39</v>
      </c>
      <c r="K279" s="2" t="s">
        <v>12</v>
      </c>
    </row>
    <row r="280" spans="1:11" x14ac:dyDescent="0.2">
      <c r="A280" s="2" t="s">
        <v>577</v>
      </c>
      <c r="B280" s="2" t="s">
        <v>578</v>
      </c>
      <c r="C280" s="2" t="s">
        <v>31</v>
      </c>
      <c r="D280" s="3">
        <v>46162.183900462966</v>
      </c>
      <c r="E280" s="3">
        <v>46162.192233796297</v>
      </c>
      <c r="F280" s="9">
        <f>IF($K280="cancelled"," ",(quick_commerce_orders[[#This Row],[delivery_time]]-quick_commerce_orders[[#This Row],[order_time]])*1440)</f>
        <v>11.999999997206032</v>
      </c>
      <c r="G280" s="2">
        <v>656.24</v>
      </c>
      <c r="H280" s="2" t="str">
        <f>IF(quick_commerce_orders[[#This Row],[order_value]]&lt;500,"Low",IF(quick_commerce_orders[[#This Row],[order_value]]&gt;1500,"High","Moderate"))</f>
        <v>Moderate</v>
      </c>
      <c r="I2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80" s="2" t="s">
        <v>11</v>
      </c>
      <c r="K280" s="2" t="s">
        <v>16</v>
      </c>
    </row>
    <row r="281" spans="1:11" x14ac:dyDescent="0.2">
      <c r="A281" s="2" t="s">
        <v>579</v>
      </c>
      <c r="B281" s="2" t="s">
        <v>580</v>
      </c>
      <c r="C281" s="2" t="s">
        <v>42</v>
      </c>
      <c r="D281" s="3">
        <v>46151.863298611112</v>
      </c>
      <c r="E281" s="3"/>
      <c r="F281" s="9" t="str">
        <f>IF($K281="cancelled"," ",(quick_commerce_orders[[#This Row],[delivery_time]]-quick_commerce_orders[[#This Row],[order_time]])*1440)</f>
        <v xml:space="preserve"> </v>
      </c>
      <c r="G281" s="2">
        <v>1748.71</v>
      </c>
      <c r="H281" s="2" t="str">
        <f>IF(quick_commerce_orders[[#This Row],[order_value]]&lt;500,"Low",IF(quick_commerce_orders[[#This Row],[order_value]]&gt;1500,"High","Moderate"))</f>
        <v>High</v>
      </c>
      <c r="I2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1" s="2" t="s">
        <v>11</v>
      </c>
      <c r="K281" s="2" t="s">
        <v>58</v>
      </c>
    </row>
    <row r="282" spans="1:11" x14ac:dyDescent="0.2">
      <c r="A282" s="2" t="s">
        <v>581</v>
      </c>
      <c r="B282" s="2" t="s">
        <v>582</v>
      </c>
      <c r="C282" s="2" t="s">
        <v>27</v>
      </c>
      <c r="D282" s="3">
        <v>46147.691666666666</v>
      </c>
      <c r="E282" s="3"/>
      <c r="F282" s="9" t="str">
        <f>IF($K282="cancelled"," ",(quick_commerce_orders[[#This Row],[delivery_time]]-quick_commerce_orders[[#This Row],[order_time]])*1440)</f>
        <v xml:space="preserve"> </v>
      </c>
      <c r="G282" s="2">
        <v>961.23</v>
      </c>
      <c r="H282" s="2" t="str">
        <f>IF(quick_commerce_orders[[#This Row],[order_value]]&lt;500,"Low",IF(quick_commerce_orders[[#This Row],[order_value]]&gt;1500,"High","Moderate"))</f>
        <v>Moderate</v>
      </c>
      <c r="I2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2" s="2" t="s">
        <v>20</v>
      </c>
      <c r="K282" s="2" t="s">
        <v>58</v>
      </c>
    </row>
    <row r="283" spans="1:11" x14ac:dyDescent="0.2">
      <c r="A283" s="2" t="s">
        <v>583</v>
      </c>
      <c r="B283" s="2" t="s">
        <v>584</v>
      </c>
      <c r="C283" s="2" t="s">
        <v>31</v>
      </c>
      <c r="D283" s="3">
        <v>46153.599143518521</v>
      </c>
      <c r="E283" s="3">
        <v>46153.608171296299</v>
      </c>
      <c r="F283" s="9">
        <f>IF($K283="cancelled"," ",(quick_commerce_orders[[#This Row],[delivery_time]]-quick_commerce_orders[[#This Row],[order_time]])*1440)</f>
        <v>13.000000000465661</v>
      </c>
      <c r="G283" s="2">
        <v>1750.54</v>
      </c>
      <c r="H283" s="2" t="str">
        <f>IF(quick_commerce_orders[[#This Row],[order_value]]&lt;500,"Low",IF(quick_commerce_orders[[#This Row],[order_value]]&gt;1500,"High","Moderate"))</f>
        <v>High</v>
      </c>
      <c r="I2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3" s="2" t="s">
        <v>28</v>
      </c>
      <c r="K283" s="2" t="s">
        <v>16</v>
      </c>
    </row>
    <row r="284" spans="1:11" x14ac:dyDescent="0.2">
      <c r="A284" s="2" t="s">
        <v>585</v>
      </c>
      <c r="B284" s="2" t="s">
        <v>586</v>
      </c>
      <c r="C284" s="2" t="s">
        <v>53</v>
      </c>
      <c r="D284" s="3">
        <v>46156.866076388891</v>
      </c>
      <c r="E284" s="3">
        <v>46156.875798611109</v>
      </c>
      <c r="F284" s="9">
        <f>IF($K284="cancelled"," ",(quick_commerce_orders[[#This Row],[delivery_time]]-quick_commerce_orders[[#This Row],[order_time]])*1440)</f>
        <v>13.999999993247911</v>
      </c>
      <c r="G284" s="2">
        <v>1242.8499999999999</v>
      </c>
      <c r="H284" s="2" t="str">
        <f>IF(quick_commerce_orders[[#This Row],[order_value]]&lt;500,"Low",IF(quick_commerce_orders[[#This Row],[order_value]]&gt;1500,"High","Moderate"))</f>
        <v>Moderate</v>
      </c>
      <c r="I2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4" s="2" t="s">
        <v>28</v>
      </c>
      <c r="K284" s="2" t="s">
        <v>16</v>
      </c>
    </row>
    <row r="285" spans="1:11" x14ac:dyDescent="0.2">
      <c r="A285" s="2" t="s">
        <v>587</v>
      </c>
      <c r="B285" s="2" t="s">
        <v>588</v>
      </c>
      <c r="C285" s="2" t="s">
        <v>19</v>
      </c>
      <c r="D285" s="3">
        <v>46169.821851851855</v>
      </c>
      <c r="E285" s="3">
        <v>46169.860046296293</v>
      </c>
      <c r="F285" s="9">
        <f>IF($K285="cancelled"," ",(quick_commerce_orders[[#This Row],[delivery_time]]-quick_commerce_orders[[#This Row],[order_time]])*1440)</f>
        <v>54.999999990686774</v>
      </c>
      <c r="G285" s="2">
        <v>1304.58</v>
      </c>
      <c r="H285" s="2" t="str">
        <f>IF(quick_commerce_orders[[#This Row],[order_value]]&lt;500,"Low",IF(quick_commerce_orders[[#This Row],[order_value]]&gt;1500,"High","Moderate"))</f>
        <v>Moderate</v>
      </c>
      <c r="I2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5" s="2" t="s">
        <v>80</v>
      </c>
      <c r="K285" s="2" t="s">
        <v>12</v>
      </c>
    </row>
    <row r="286" spans="1:11" x14ac:dyDescent="0.2">
      <c r="A286" s="2" t="s">
        <v>589</v>
      </c>
      <c r="B286" s="2" t="s">
        <v>590</v>
      </c>
      <c r="C286" s="2" t="s">
        <v>31</v>
      </c>
      <c r="D286" s="3">
        <v>46156.122986111113</v>
      </c>
      <c r="E286" s="3"/>
      <c r="F286" s="9" t="str">
        <f>IF($K286="cancelled"," ",(quick_commerce_orders[[#This Row],[delivery_time]]-quick_commerce_orders[[#This Row],[order_time]])*1440)</f>
        <v xml:space="preserve"> </v>
      </c>
      <c r="G286" s="2">
        <v>1550.31</v>
      </c>
      <c r="H286" s="2" t="str">
        <f>IF(quick_commerce_orders[[#This Row],[order_value]]&lt;500,"Low",IF(quick_commerce_orders[[#This Row],[order_value]]&gt;1500,"High","Moderate"))</f>
        <v>High</v>
      </c>
      <c r="I2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86" s="2" t="s">
        <v>80</v>
      </c>
      <c r="K286" s="2" t="s">
        <v>58</v>
      </c>
    </row>
    <row r="287" spans="1:11" x14ac:dyDescent="0.2">
      <c r="A287" s="2" t="s">
        <v>591</v>
      </c>
      <c r="B287" s="2" t="s">
        <v>592</v>
      </c>
      <c r="C287" s="2" t="s">
        <v>19</v>
      </c>
      <c r="D287" s="3">
        <v>46151.151226851849</v>
      </c>
      <c r="E287" s="3">
        <v>46151.164421296293</v>
      </c>
      <c r="F287" s="9">
        <f>IF($K287="cancelled"," ",(quick_commerce_orders[[#This Row],[delivery_time]]-quick_commerce_orders[[#This Row],[order_time]])*1440)</f>
        <v>18.999999999068677</v>
      </c>
      <c r="G287" s="2">
        <v>1807.85</v>
      </c>
      <c r="H287" s="2" t="str">
        <f>IF(quick_commerce_orders[[#This Row],[order_value]]&lt;500,"Low",IF(quick_commerce_orders[[#This Row],[order_value]]&gt;1500,"High","Moderate"))</f>
        <v>High</v>
      </c>
      <c r="I2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287" s="2" t="s">
        <v>28</v>
      </c>
      <c r="K287" s="2" t="s">
        <v>16</v>
      </c>
    </row>
    <row r="288" spans="1:11" x14ac:dyDescent="0.2">
      <c r="A288" s="2" t="s">
        <v>593</v>
      </c>
      <c r="B288" s="2" t="s">
        <v>594</v>
      </c>
      <c r="C288" s="2" t="s">
        <v>27</v>
      </c>
      <c r="D288" s="3">
        <v>46167.477314814816</v>
      </c>
      <c r="E288" s="3">
        <v>46167.489120370374</v>
      </c>
      <c r="F288" s="9">
        <f>IF($K288="cancelled"," ",(quick_commerce_orders[[#This Row],[delivery_time]]-quick_commerce_orders[[#This Row],[order_time]])*1440)</f>
        <v>17.000000003026798</v>
      </c>
      <c r="G288" s="2">
        <v>996.5</v>
      </c>
      <c r="H288" s="2" t="str">
        <f>IF(quick_commerce_orders[[#This Row],[order_value]]&lt;500,"Low",IF(quick_commerce_orders[[#This Row],[order_value]]&gt;1500,"High","Moderate"))</f>
        <v>Moderate</v>
      </c>
      <c r="I2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88" s="2" t="s">
        <v>11</v>
      </c>
      <c r="K288" s="2" t="s">
        <v>16</v>
      </c>
    </row>
    <row r="289" spans="1:11" x14ac:dyDescent="0.2">
      <c r="A289" s="2" t="s">
        <v>595</v>
      </c>
      <c r="B289" s="2" t="s">
        <v>596</v>
      </c>
      <c r="C289" s="2" t="s">
        <v>75</v>
      </c>
      <c r="D289" s="3">
        <v>46151.303946759261</v>
      </c>
      <c r="E289" s="3">
        <v>46151.314363425925</v>
      </c>
      <c r="F289" s="9">
        <f>IF($K289="cancelled"," ",(quick_commerce_orders[[#This Row],[delivery_time]]-quick_commerce_orders[[#This Row],[order_time]])*1440)</f>
        <v>14.99999999650754</v>
      </c>
      <c r="G289" s="2">
        <v>2144.11</v>
      </c>
      <c r="H289" s="2" t="str">
        <f>IF(quick_commerce_orders[[#This Row],[order_value]]&lt;500,"Low",IF(quick_commerce_orders[[#This Row],[order_value]]&gt;1500,"High","Moderate"))</f>
        <v>High</v>
      </c>
      <c r="I2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89" s="2" t="s">
        <v>39</v>
      </c>
      <c r="K289" s="2" t="s">
        <v>16</v>
      </c>
    </row>
    <row r="290" spans="1:11" x14ac:dyDescent="0.2">
      <c r="A290" s="2" t="s">
        <v>597</v>
      </c>
      <c r="B290" s="2" t="s">
        <v>598</v>
      </c>
      <c r="C290" s="2" t="s">
        <v>75</v>
      </c>
      <c r="D290" s="3">
        <v>46148.316412037035</v>
      </c>
      <c r="E290" s="3">
        <v>46148.32335648148</v>
      </c>
      <c r="F290" s="9">
        <f>IF($K290="cancelled"," ",(quick_commerce_orders[[#This Row],[delivery_time]]-quick_commerce_orders[[#This Row],[order_time]])*1440)</f>
        <v>10.000000001164153</v>
      </c>
      <c r="G290" s="2">
        <v>1278.47</v>
      </c>
      <c r="H290" s="2" t="str">
        <f>IF(quick_commerce_orders[[#This Row],[order_value]]&lt;500,"Low",IF(quick_commerce_orders[[#This Row],[order_value]]&gt;1500,"High","Moderate"))</f>
        <v>Moderate</v>
      </c>
      <c r="I2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90" s="2" t="s">
        <v>39</v>
      </c>
      <c r="K290" s="2" t="s">
        <v>16</v>
      </c>
    </row>
    <row r="291" spans="1:11" x14ac:dyDescent="0.2">
      <c r="A291" s="2" t="s">
        <v>599</v>
      </c>
      <c r="B291" s="2" t="s">
        <v>600</v>
      </c>
      <c r="C291" s="2" t="s">
        <v>31</v>
      </c>
      <c r="D291" s="3">
        <v>46161.917986111112</v>
      </c>
      <c r="E291" s="3">
        <v>46161.925625000003</v>
      </c>
      <c r="F291" s="9">
        <f>IF($K291="cancelled"," ",(quick_commerce_orders[[#This Row],[delivery_time]]-quick_commerce_orders[[#This Row],[order_time]])*1440)</f>
        <v>11.000000004423782</v>
      </c>
      <c r="G291" s="2">
        <v>429.03</v>
      </c>
      <c r="H291" s="2" t="str">
        <f>IF(quick_commerce_orders[[#This Row],[order_value]]&lt;500,"Low",IF(quick_commerce_orders[[#This Row],[order_value]]&gt;1500,"High","Moderate"))</f>
        <v>Low</v>
      </c>
      <c r="I2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91" s="2" t="s">
        <v>20</v>
      </c>
      <c r="K291" s="2" t="s">
        <v>16</v>
      </c>
    </row>
    <row r="292" spans="1:11" x14ac:dyDescent="0.2">
      <c r="A292" s="2" t="s">
        <v>601</v>
      </c>
      <c r="B292" s="2" t="s">
        <v>602</v>
      </c>
      <c r="C292" s="2" t="s">
        <v>53</v>
      </c>
      <c r="D292" s="3">
        <v>46162.273356481484</v>
      </c>
      <c r="E292" s="3">
        <v>46162.280300925922</v>
      </c>
      <c r="F292" s="9">
        <f>IF($K292="cancelled"," ",(quick_commerce_orders[[#This Row],[delivery_time]]-quick_commerce_orders[[#This Row],[order_time]])*1440)</f>
        <v>9.9999999906867743</v>
      </c>
      <c r="G292" s="2">
        <v>562.82000000000005</v>
      </c>
      <c r="H292" s="2" t="str">
        <f>IF(quick_commerce_orders[[#This Row],[order_value]]&lt;500,"Low",IF(quick_commerce_orders[[#This Row],[order_value]]&gt;1500,"High","Moderate"))</f>
        <v>Moderate</v>
      </c>
      <c r="I2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92" s="2" t="s">
        <v>11</v>
      </c>
      <c r="K292" s="2" t="s">
        <v>16</v>
      </c>
    </row>
    <row r="293" spans="1:11" x14ac:dyDescent="0.2">
      <c r="A293" s="2" t="s">
        <v>603</v>
      </c>
      <c r="B293" s="2" t="s">
        <v>604</v>
      </c>
      <c r="C293" s="2" t="s">
        <v>10</v>
      </c>
      <c r="D293" s="3">
        <v>46155.975902777776</v>
      </c>
      <c r="E293" s="3">
        <v>46155.989791666667</v>
      </c>
      <c r="F293" s="9">
        <f>IF($K293="cancelled"," ",(quick_commerce_orders[[#This Row],[delivery_time]]-quick_commerce_orders[[#This Row],[order_time]])*1440)</f>
        <v>20.000000002328306</v>
      </c>
      <c r="G293" s="2">
        <v>176.35</v>
      </c>
      <c r="H293" s="2" t="str">
        <f>IF(quick_commerce_orders[[#This Row],[order_value]]&lt;500,"Low",IF(quick_commerce_orders[[#This Row],[order_value]]&gt;1500,"High","Moderate"))</f>
        <v>Low</v>
      </c>
      <c r="I2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93" s="2" t="s">
        <v>80</v>
      </c>
      <c r="K293" s="2" t="s">
        <v>16</v>
      </c>
    </row>
    <row r="294" spans="1:11" x14ac:dyDescent="0.2">
      <c r="A294" s="2" t="s">
        <v>605</v>
      </c>
      <c r="B294" s="2" t="s">
        <v>606</v>
      </c>
      <c r="C294" s="2" t="s">
        <v>42</v>
      </c>
      <c r="D294" s="3">
        <v>46146.313472222224</v>
      </c>
      <c r="E294" s="3">
        <v>46146.319027777776</v>
      </c>
      <c r="F294" s="9">
        <f>IF($K294="cancelled"," ",(quick_commerce_orders[[#This Row],[delivery_time]]-quick_commerce_orders[[#This Row],[order_time]])*1440)</f>
        <v>7.9999999946448952</v>
      </c>
      <c r="G294" s="2">
        <v>1933.89</v>
      </c>
      <c r="H294" s="2" t="str">
        <f>IF(quick_commerce_orders[[#This Row],[order_value]]&lt;500,"Low",IF(quick_commerce_orders[[#This Row],[order_value]]&gt;1500,"High","Moderate"))</f>
        <v>High</v>
      </c>
      <c r="I2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94" s="2" t="s">
        <v>28</v>
      </c>
      <c r="K294" s="2" t="s">
        <v>16</v>
      </c>
    </row>
    <row r="295" spans="1:11" x14ac:dyDescent="0.2">
      <c r="A295" s="2" t="s">
        <v>607</v>
      </c>
      <c r="B295" s="2" t="s">
        <v>608</v>
      </c>
      <c r="C295" s="2" t="s">
        <v>34</v>
      </c>
      <c r="D295" s="3">
        <v>46150.313657407409</v>
      </c>
      <c r="E295" s="3"/>
      <c r="F295" s="9" t="str">
        <f>IF($K295="cancelled"," ",(quick_commerce_orders[[#This Row],[delivery_time]]-quick_commerce_orders[[#This Row],[order_time]])*1440)</f>
        <v xml:space="preserve"> </v>
      </c>
      <c r="G295" s="2">
        <v>135.03</v>
      </c>
      <c r="H295" s="2" t="str">
        <f>IF(quick_commerce_orders[[#This Row],[order_value]]&lt;500,"Low",IF(quick_commerce_orders[[#This Row],[order_value]]&gt;1500,"High","Moderate"))</f>
        <v>Low</v>
      </c>
      <c r="I2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95" s="2" t="s">
        <v>11</v>
      </c>
      <c r="K295" s="2" t="s">
        <v>58</v>
      </c>
    </row>
    <row r="296" spans="1:11" x14ac:dyDescent="0.2">
      <c r="A296" s="2" t="s">
        <v>609</v>
      </c>
      <c r="B296" s="2" t="s">
        <v>610</v>
      </c>
      <c r="C296" s="2" t="s">
        <v>10</v>
      </c>
      <c r="D296" s="3">
        <v>46147.705555555556</v>
      </c>
      <c r="E296" s="3">
        <v>46147.711111111108</v>
      </c>
      <c r="F296" s="9">
        <f>IF($K296="cancelled"," ",(quick_commerce_orders[[#This Row],[delivery_time]]-quick_commerce_orders[[#This Row],[order_time]])*1440)</f>
        <v>7.9999999946448952</v>
      </c>
      <c r="G296" s="2">
        <v>746.66</v>
      </c>
      <c r="H296" s="2" t="str">
        <f>IF(quick_commerce_orders[[#This Row],[order_value]]&lt;500,"Low",IF(quick_commerce_orders[[#This Row],[order_value]]&gt;1500,"High","Moderate"))</f>
        <v>Moderate</v>
      </c>
      <c r="I2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96" s="2" t="s">
        <v>20</v>
      </c>
      <c r="K296" s="2" t="s">
        <v>16</v>
      </c>
    </row>
    <row r="297" spans="1:11" x14ac:dyDescent="0.2">
      <c r="A297" s="2" t="s">
        <v>611</v>
      </c>
      <c r="B297" s="2" t="s">
        <v>612</v>
      </c>
      <c r="C297" s="2" t="s">
        <v>53</v>
      </c>
      <c r="D297" s="3">
        <v>46166.422500000001</v>
      </c>
      <c r="E297" s="3">
        <v>46166.429444444446</v>
      </c>
      <c r="F297" s="9">
        <f>IF($K297="cancelled"," ",(quick_commerce_orders[[#This Row],[delivery_time]]-quick_commerce_orders[[#This Row],[order_time]])*1440)</f>
        <v>10.000000001164153</v>
      </c>
      <c r="G297" s="2">
        <v>1090.31</v>
      </c>
      <c r="H297" s="2" t="str">
        <f>IF(quick_commerce_orders[[#This Row],[order_value]]&lt;500,"Low",IF(quick_commerce_orders[[#This Row],[order_value]]&gt;1500,"High","Moderate"))</f>
        <v>Moderate</v>
      </c>
      <c r="I2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97" s="2" t="s">
        <v>15</v>
      </c>
      <c r="K297" s="2" t="s">
        <v>16</v>
      </c>
    </row>
    <row r="298" spans="1:11" x14ac:dyDescent="0.2">
      <c r="A298" s="2" t="s">
        <v>613</v>
      </c>
      <c r="B298" s="2" t="s">
        <v>614</v>
      </c>
      <c r="C298" s="2" t="s">
        <v>31</v>
      </c>
      <c r="D298" s="3">
        <v>46169.482442129629</v>
      </c>
      <c r="E298" s="3">
        <v>46169.49077546296</v>
      </c>
      <c r="F298" s="9">
        <f>IF($K298="cancelled"," ",(quick_commerce_orders[[#This Row],[delivery_time]]-quick_commerce_orders[[#This Row],[order_time]])*1440)</f>
        <v>11.999999997206032</v>
      </c>
      <c r="G298" s="2">
        <v>1880.68</v>
      </c>
      <c r="H298" s="2" t="str">
        <f>IF(quick_commerce_orders[[#This Row],[order_value]]&lt;500,"Low",IF(quick_commerce_orders[[#This Row],[order_value]]&gt;1500,"High","Moderate"))</f>
        <v>High</v>
      </c>
      <c r="I2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298" s="2" t="s">
        <v>11</v>
      </c>
      <c r="K298" s="2" t="s">
        <v>16</v>
      </c>
    </row>
    <row r="299" spans="1:11" x14ac:dyDescent="0.2">
      <c r="A299" s="2" t="s">
        <v>615</v>
      </c>
      <c r="B299" s="2" t="s">
        <v>616</v>
      </c>
      <c r="C299" s="2" t="s">
        <v>31</v>
      </c>
      <c r="D299" s="3">
        <v>46154.659074074072</v>
      </c>
      <c r="E299" s="3">
        <v>46154.695185185185</v>
      </c>
      <c r="F299" s="9">
        <f>IF($K299="cancelled"," ",(quick_commerce_orders[[#This Row],[delivery_time]]-quick_commerce_orders[[#This Row],[order_time]])*1440)</f>
        <v>52.000000001862645</v>
      </c>
      <c r="G299" s="2">
        <v>2470.7800000000002</v>
      </c>
      <c r="H299" s="2" t="str">
        <f>IF(quick_commerce_orders[[#This Row],[order_value]]&lt;500,"Low",IF(quick_commerce_orders[[#This Row],[order_value]]&gt;1500,"High","Moderate"))</f>
        <v>High</v>
      </c>
      <c r="I2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299" s="2" t="s">
        <v>15</v>
      </c>
      <c r="K299" s="2" t="s">
        <v>12</v>
      </c>
    </row>
    <row r="300" spans="1:11" x14ac:dyDescent="0.2">
      <c r="A300" s="2" t="s">
        <v>617</v>
      </c>
      <c r="B300" s="2" t="s">
        <v>618</v>
      </c>
      <c r="C300" s="2" t="s">
        <v>53</v>
      </c>
      <c r="D300" s="3">
        <v>46144.75277777778</v>
      </c>
      <c r="E300" s="3">
        <v>46144.763888888891</v>
      </c>
      <c r="F300" s="9">
        <f>IF($K300="cancelled"," ",(quick_commerce_orders[[#This Row],[delivery_time]]-quick_commerce_orders[[#This Row],[order_time]])*1440)</f>
        <v>15.999999999767169</v>
      </c>
      <c r="G300" s="2">
        <v>1917.66</v>
      </c>
      <c r="H300" s="2" t="str">
        <f>IF(quick_commerce_orders[[#This Row],[order_value]]&lt;500,"Low",IF(quick_commerce_orders[[#This Row],[order_value]]&gt;1500,"High","Moderate"))</f>
        <v>High</v>
      </c>
      <c r="I3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0" s="2" t="s">
        <v>39</v>
      </c>
      <c r="K300" s="2" t="s">
        <v>16</v>
      </c>
    </row>
    <row r="301" spans="1:11" x14ac:dyDescent="0.2">
      <c r="A301" s="2" t="s">
        <v>619</v>
      </c>
      <c r="B301" s="2" t="s">
        <v>620</v>
      </c>
      <c r="C301" s="2" t="s">
        <v>75</v>
      </c>
      <c r="D301" s="3">
        <v>46159.252071759256</v>
      </c>
      <c r="E301" s="3">
        <v>46159.26457175926</v>
      </c>
      <c r="F301" s="9">
        <f>IF($K301="cancelled"," ",(quick_commerce_orders[[#This Row],[delivery_time]]-quick_commerce_orders[[#This Row],[order_time]])*1440)</f>
        <v>18.000000006286427</v>
      </c>
      <c r="G301" s="2">
        <v>257.73</v>
      </c>
      <c r="H301" s="2" t="str">
        <f>IF(quick_commerce_orders[[#This Row],[order_value]]&lt;500,"Low",IF(quick_commerce_orders[[#This Row],[order_value]]&gt;1500,"High","Moderate"))</f>
        <v>Low</v>
      </c>
      <c r="I3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01" s="2" t="s">
        <v>20</v>
      </c>
      <c r="K301" s="2" t="s">
        <v>16</v>
      </c>
    </row>
    <row r="302" spans="1:11" x14ac:dyDescent="0.2">
      <c r="A302" s="2" t="s">
        <v>621</v>
      </c>
      <c r="B302" s="2" t="s">
        <v>622</v>
      </c>
      <c r="C302" s="2" t="s">
        <v>10</v>
      </c>
      <c r="D302" s="3">
        <v>46146.522430555553</v>
      </c>
      <c r="E302" s="3">
        <v>46146.536319444444</v>
      </c>
      <c r="F302" s="9">
        <f>IF($K302="cancelled"," ",(quick_commerce_orders[[#This Row],[delivery_time]]-quick_commerce_orders[[#This Row],[order_time]])*1440)</f>
        <v>20.000000002328306</v>
      </c>
      <c r="G302" s="2">
        <v>2324.0500000000002</v>
      </c>
      <c r="H302" s="2" t="str">
        <f>IF(quick_commerce_orders[[#This Row],[order_value]]&lt;500,"Low",IF(quick_commerce_orders[[#This Row],[order_value]]&gt;1500,"High","Moderate"))</f>
        <v>High</v>
      </c>
      <c r="I3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2" s="2" t="s">
        <v>20</v>
      </c>
      <c r="K302" s="2" t="s">
        <v>16</v>
      </c>
    </row>
    <row r="303" spans="1:11" x14ac:dyDescent="0.2">
      <c r="A303" s="2" t="s">
        <v>623</v>
      </c>
      <c r="B303" s="2" t="s">
        <v>624</v>
      </c>
      <c r="C303" s="2" t="s">
        <v>19</v>
      </c>
      <c r="D303" s="3">
        <v>46169.572511574072</v>
      </c>
      <c r="E303" s="3">
        <v>46169.58153935185</v>
      </c>
      <c r="F303" s="9">
        <f>IF($K303="cancelled"," ",(quick_commerce_orders[[#This Row],[delivery_time]]-quick_commerce_orders[[#This Row],[order_time]])*1440)</f>
        <v>13.000000000465661</v>
      </c>
      <c r="G303" s="2">
        <v>2464.5100000000002</v>
      </c>
      <c r="H303" s="2" t="str">
        <f>IF(quick_commerce_orders[[#This Row],[order_value]]&lt;500,"Low",IF(quick_commerce_orders[[#This Row],[order_value]]&gt;1500,"High","Moderate"))</f>
        <v>High</v>
      </c>
      <c r="I3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3" s="2" t="s">
        <v>28</v>
      </c>
      <c r="K303" s="2" t="s">
        <v>16</v>
      </c>
    </row>
    <row r="304" spans="1:11" x14ac:dyDescent="0.2">
      <c r="A304" s="2" t="s">
        <v>625</v>
      </c>
      <c r="B304" s="2" t="s">
        <v>626</v>
      </c>
      <c r="C304" s="2" t="s">
        <v>27</v>
      </c>
      <c r="D304" s="3">
        <v>46148.85733796296</v>
      </c>
      <c r="E304" s="3">
        <v>46148.865671296298</v>
      </c>
      <c r="F304" s="9">
        <f>IF($K304="cancelled"," ",(quick_commerce_orders[[#This Row],[delivery_time]]-quick_commerce_orders[[#This Row],[order_time]])*1440)</f>
        <v>12.000000007683411</v>
      </c>
      <c r="G304" s="2">
        <v>2180.11</v>
      </c>
      <c r="H304" s="2" t="str">
        <f>IF(quick_commerce_orders[[#This Row],[order_value]]&lt;500,"Low",IF(quick_commerce_orders[[#This Row],[order_value]]&gt;1500,"High","Moderate"))</f>
        <v>High</v>
      </c>
      <c r="I3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4" s="2" t="s">
        <v>11</v>
      </c>
      <c r="K304" s="2" t="s">
        <v>16</v>
      </c>
    </row>
    <row r="305" spans="1:11" x14ac:dyDescent="0.2">
      <c r="A305" s="2" t="s">
        <v>627</v>
      </c>
      <c r="B305" s="2" t="s">
        <v>628</v>
      </c>
      <c r="C305" s="2" t="s">
        <v>75</v>
      </c>
      <c r="D305" s="3">
        <v>46152.337025462963</v>
      </c>
      <c r="E305" s="3">
        <v>46152.377997685187</v>
      </c>
      <c r="F305" s="9">
        <f>IF($K305="cancelled"," ",(quick_commerce_orders[[#This Row],[delivery_time]]-quick_commerce_orders[[#This Row],[order_time]])*1440)</f>
        <v>59.00000000372529</v>
      </c>
      <c r="G305" s="2">
        <v>1274.8599999999999</v>
      </c>
      <c r="H305" s="2" t="str">
        <f>IF(quick_commerce_orders[[#This Row],[order_value]]&lt;500,"Low",IF(quick_commerce_orders[[#This Row],[order_value]]&gt;1500,"High","Moderate"))</f>
        <v>Moderate</v>
      </c>
      <c r="I3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05" s="2" t="s">
        <v>20</v>
      </c>
      <c r="K305" s="2" t="s">
        <v>12</v>
      </c>
    </row>
    <row r="306" spans="1:11" x14ac:dyDescent="0.2">
      <c r="A306" s="2" t="s">
        <v>629</v>
      </c>
      <c r="B306" s="2" t="s">
        <v>630</v>
      </c>
      <c r="C306" s="2" t="s">
        <v>27</v>
      </c>
      <c r="D306" s="3">
        <v>46148.707094907404</v>
      </c>
      <c r="E306" s="3">
        <v>46148.720983796295</v>
      </c>
      <c r="F306" s="9">
        <f>IF($K306="cancelled"," ",(quick_commerce_orders[[#This Row],[delivery_time]]-quick_commerce_orders[[#This Row],[order_time]])*1440)</f>
        <v>20.000000002328306</v>
      </c>
      <c r="G306" s="2">
        <v>878.75</v>
      </c>
      <c r="H306" s="2" t="str">
        <f>IF(quick_commerce_orders[[#This Row],[order_value]]&lt;500,"Low",IF(quick_commerce_orders[[#This Row],[order_value]]&gt;1500,"High","Moderate"))</f>
        <v>Moderate</v>
      </c>
      <c r="I3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6" s="2" t="s">
        <v>28</v>
      </c>
      <c r="K306" s="2" t="s">
        <v>16</v>
      </c>
    </row>
    <row r="307" spans="1:11" x14ac:dyDescent="0.2">
      <c r="A307" s="2" t="s">
        <v>631</v>
      </c>
      <c r="B307" s="2" t="s">
        <v>632</v>
      </c>
      <c r="C307" s="2" t="s">
        <v>42</v>
      </c>
      <c r="D307" s="3">
        <v>46152.722511574073</v>
      </c>
      <c r="E307" s="3">
        <v>46152.729456018518</v>
      </c>
      <c r="F307" s="9">
        <f>IF($K307="cancelled"," ",(quick_commerce_orders[[#This Row],[delivery_time]]-quick_commerce_orders[[#This Row],[order_time]])*1440)</f>
        <v>10.000000001164153</v>
      </c>
      <c r="G307" s="2">
        <v>1197.1099999999999</v>
      </c>
      <c r="H307" s="2" t="str">
        <f>IF(quick_commerce_orders[[#This Row],[order_value]]&lt;500,"Low",IF(quick_commerce_orders[[#This Row],[order_value]]&gt;1500,"High","Moderate"))</f>
        <v>Moderate</v>
      </c>
      <c r="I3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07" s="2" t="s">
        <v>80</v>
      </c>
      <c r="K307" s="2" t="s">
        <v>16</v>
      </c>
    </row>
    <row r="308" spans="1:11" x14ac:dyDescent="0.2">
      <c r="A308" s="2" t="s">
        <v>633</v>
      </c>
      <c r="B308" s="2" t="s">
        <v>634</v>
      </c>
      <c r="C308" s="2" t="s">
        <v>75</v>
      </c>
      <c r="D308" s="3">
        <v>46147.405868055554</v>
      </c>
      <c r="E308" s="3">
        <v>46147.412812499999</v>
      </c>
      <c r="F308" s="9">
        <f>IF($K308="cancelled"," ",(quick_commerce_orders[[#This Row],[delivery_time]]-quick_commerce_orders[[#This Row],[order_time]])*1440)</f>
        <v>10.000000001164153</v>
      </c>
      <c r="G308" s="2">
        <v>691.28</v>
      </c>
      <c r="H308" s="2" t="str">
        <f>IF(quick_commerce_orders[[#This Row],[order_value]]&lt;500,"Low",IF(quick_commerce_orders[[#This Row],[order_value]]&gt;1500,"High","Moderate"))</f>
        <v>Moderate</v>
      </c>
      <c r="I3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08" s="2" t="s">
        <v>11</v>
      </c>
      <c r="K308" s="2" t="s">
        <v>16</v>
      </c>
    </row>
    <row r="309" spans="1:11" x14ac:dyDescent="0.2">
      <c r="A309" s="2" t="s">
        <v>635</v>
      </c>
      <c r="B309" s="2" t="s">
        <v>636</v>
      </c>
      <c r="C309" s="2" t="s">
        <v>75</v>
      </c>
      <c r="D309" s="3">
        <v>46158.052141203705</v>
      </c>
      <c r="E309" s="3">
        <v>46158.062557870369</v>
      </c>
      <c r="F309" s="9">
        <f>IF($K309="cancelled"," ",(quick_commerce_orders[[#This Row],[delivery_time]]-quick_commerce_orders[[#This Row],[order_time]])*1440)</f>
        <v>14.99999999650754</v>
      </c>
      <c r="G309" s="2">
        <v>1070.68</v>
      </c>
      <c r="H309" s="2" t="str">
        <f>IF(quick_commerce_orders[[#This Row],[order_value]]&lt;500,"Low",IF(quick_commerce_orders[[#This Row],[order_value]]&gt;1500,"High","Moderate"))</f>
        <v>Moderate</v>
      </c>
      <c r="I3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09" s="2" t="s">
        <v>20</v>
      </c>
      <c r="K309" s="2" t="s">
        <v>16</v>
      </c>
    </row>
    <row r="310" spans="1:11" x14ac:dyDescent="0.2">
      <c r="A310" s="2" t="s">
        <v>637</v>
      </c>
      <c r="B310" s="2" t="s">
        <v>638</v>
      </c>
      <c r="C310" s="2" t="s">
        <v>31</v>
      </c>
      <c r="D310" s="3">
        <v>46170.145590277774</v>
      </c>
      <c r="E310" s="3">
        <v>46170.176145833335</v>
      </c>
      <c r="F310" s="9">
        <f>IF($K310="cancelled"," ",(quick_commerce_orders[[#This Row],[delivery_time]]-quick_commerce_orders[[#This Row],[order_time]])*1440)</f>
        <v>44.00000000721775</v>
      </c>
      <c r="G310" s="2">
        <v>199.38</v>
      </c>
      <c r="H310" s="2" t="str">
        <f>IF(quick_commerce_orders[[#This Row],[order_value]]&lt;500,"Low",IF(quick_commerce_orders[[#This Row],[order_value]]&gt;1500,"High","Moderate"))</f>
        <v>Low</v>
      </c>
      <c r="I3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10" s="2" t="s">
        <v>11</v>
      </c>
      <c r="K310" s="2" t="s">
        <v>12</v>
      </c>
    </row>
    <row r="311" spans="1:11" x14ac:dyDescent="0.2">
      <c r="A311" s="2" t="s">
        <v>639</v>
      </c>
      <c r="B311" s="2" t="s">
        <v>640</v>
      </c>
      <c r="C311" s="2" t="s">
        <v>31</v>
      </c>
      <c r="D311" s="3">
        <v>46146.404710648145</v>
      </c>
      <c r="E311" s="3">
        <v>46146.416516203702</v>
      </c>
      <c r="F311" s="9">
        <f>IF($K311="cancelled"," ",(quick_commerce_orders[[#This Row],[delivery_time]]-quick_commerce_orders[[#This Row],[order_time]])*1440)</f>
        <v>17.000000003026798</v>
      </c>
      <c r="G311" s="2">
        <v>1863.8</v>
      </c>
      <c r="H311" s="2" t="str">
        <f>IF(quick_commerce_orders[[#This Row],[order_value]]&lt;500,"Low",IF(quick_commerce_orders[[#This Row],[order_value]]&gt;1500,"High","Moderate"))</f>
        <v>High</v>
      </c>
      <c r="I3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11" s="2" t="s">
        <v>11</v>
      </c>
      <c r="K311" s="2" t="s">
        <v>16</v>
      </c>
    </row>
    <row r="312" spans="1:11" x14ac:dyDescent="0.2">
      <c r="A312" s="2" t="s">
        <v>641</v>
      </c>
      <c r="B312" s="2" t="s">
        <v>642</v>
      </c>
      <c r="C312" s="2" t="s">
        <v>27</v>
      </c>
      <c r="D312" s="3">
        <v>46154.125520833331</v>
      </c>
      <c r="E312" s="3"/>
      <c r="F312" s="9" t="str">
        <f>IF($K312="cancelled"," ",(quick_commerce_orders[[#This Row],[delivery_time]]-quick_commerce_orders[[#This Row],[order_time]])*1440)</f>
        <v xml:space="preserve"> </v>
      </c>
      <c r="G312" s="2">
        <v>1011.9</v>
      </c>
      <c r="H312" s="2" t="str">
        <f>IF(quick_commerce_orders[[#This Row],[order_value]]&lt;500,"Low",IF(quick_commerce_orders[[#This Row],[order_value]]&gt;1500,"High","Moderate"))</f>
        <v>Moderate</v>
      </c>
      <c r="I3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12" s="2" t="s">
        <v>39</v>
      </c>
      <c r="K312" s="2" t="s">
        <v>58</v>
      </c>
    </row>
    <row r="313" spans="1:11" x14ac:dyDescent="0.2">
      <c r="A313" s="2" t="s">
        <v>643</v>
      </c>
      <c r="B313" s="2" t="s">
        <v>644</v>
      </c>
      <c r="C313" s="2" t="s">
        <v>42</v>
      </c>
      <c r="D313" s="3">
        <v>46151.91678240741</v>
      </c>
      <c r="E313" s="3">
        <v>46151.925810185188</v>
      </c>
      <c r="F313" s="9">
        <f>IF($K313="cancelled"," ",(quick_commerce_orders[[#This Row],[delivery_time]]-quick_commerce_orders[[#This Row],[order_time]])*1440)</f>
        <v>13.000000000465661</v>
      </c>
      <c r="G313" s="2">
        <v>849.95</v>
      </c>
      <c r="H313" s="2" t="str">
        <f>IF(quick_commerce_orders[[#This Row],[order_value]]&lt;500,"Low",IF(quick_commerce_orders[[#This Row],[order_value]]&gt;1500,"High","Moderate"))</f>
        <v>Moderate</v>
      </c>
      <c r="I3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13" s="2" t="s">
        <v>11</v>
      </c>
      <c r="K313" s="2" t="s">
        <v>16</v>
      </c>
    </row>
    <row r="314" spans="1:11" x14ac:dyDescent="0.2">
      <c r="A314" s="2" t="s">
        <v>645</v>
      </c>
      <c r="B314" s="2" t="s">
        <v>646</v>
      </c>
      <c r="C314" s="2" t="s">
        <v>42</v>
      </c>
      <c r="D314" s="3">
        <v>46174.481631944444</v>
      </c>
      <c r="E314" s="3">
        <v>46174.489965277775</v>
      </c>
      <c r="F314" s="9">
        <f>IF($K314="cancelled"," ",(quick_commerce_orders[[#This Row],[delivery_time]]-quick_commerce_orders[[#This Row],[order_time]])*1440)</f>
        <v>11.999999997206032</v>
      </c>
      <c r="G314" s="2">
        <v>1566.61</v>
      </c>
      <c r="H314" s="2" t="str">
        <f>IF(quick_commerce_orders[[#This Row],[order_value]]&lt;500,"Low",IF(quick_commerce_orders[[#This Row],[order_value]]&gt;1500,"High","Moderate"))</f>
        <v>High</v>
      </c>
      <c r="I3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14" s="2" t="s">
        <v>39</v>
      </c>
      <c r="K314" s="2" t="s">
        <v>16</v>
      </c>
    </row>
    <row r="315" spans="1:11" x14ac:dyDescent="0.2">
      <c r="A315" s="2" t="s">
        <v>647</v>
      </c>
      <c r="B315" s="2" t="s">
        <v>648</v>
      </c>
      <c r="C315" s="2" t="s">
        <v>19</v>
      </c>
      <c r="D315" s="3">
        <v>46159.224398148152</v>
      </c>
      <c r="E315" s="3">
        <v>46159.233425925922</v>
      </c>
      <c r="F315" s="9">
        <f>IF($K315="cancelled"," ",(quick_commerce_orders[[#This Row],[delivery_time]]-quick_commerce_orders[[#This Row],[order_time]])*1440)</f>
        <v>12.999999989988282</v>
      </c>
      <c r="G315" s="2">
        <v>1880.92</v>
      </c>
      <c r="H315" s="2" t="str">
        <f>IF(quick_commerce_orders[[#This Row],[order_value]]&lt;500,"Low",IF(quick_commerce_orders[[#This Row],[order_value]]&gt;1500,"High","Moderate"))</f>
        <v>High</v>
      </c>
      <c r="I3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15" s="2" t="s">
        <v>20</v>
      </c>
      <c r="K315" s="2" t="s">
        <v>16</v>
      </c>
    </row>
    <row r="316" spans="1:11" x14ac:dyDescent="0.2">
      <c r="A316" s="2" t="s">
        <v>649</v>
      </c>
      <c r="B316" s="2" t="s">
        <v>650</v>
      </c>
      <c r="C316" s="2" t="s">
        <v>53</v>
      </c>
      <c r="D316" s="3">
        <v>46160.997303240743</v>
      </c>
      <c r="E316" s="3">
        <v>46161.002858796295</v>
      </c>
      <c r="F316" s="9">
        <f>IF($K316="cancelled"," ",(quick_commerce_orders[[#This Row],[delivery_time]]-quick_commerce_orders[[#This Row],[order_time]])*1440)</f>
        <v>7.9999999946448952</v>
      </c>
      <c r="G316" s="2">
        <v>1524.13</v>
      </c>
      <c r="H316" s="2" t="str">
        <f>IF(quick_commerce_orders[[#This Row],[order_value]]&lt;500,"Low",IF(quick_commerce_orders[[#This Row],[order_value]]&gt;1500,"High","Moderate"))</f>
        <v>High</v>
      </c>
      <c r="I3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16" s="2" t="s">
        <v>11</v>
      </c>
      <c r="K316" s="2" t="s">
        <v>16</v>
      </c>
    </row>
    <row r="317" spans="1:11" x14ac:dyDescent="0.2">
      <c r="A317" s="2" t="s">
        <v>651</v>
      </c>
      <c r="B317" s="2" t="s">
        <v>652</v>
      </c>
      <c r="C317" s="2" t="s">
        <v>42</v>
      </c>
      <c r="D317" s="3">
        <v>46144.45239583333</v>
      </c>
      <c r="E317" s="3">
        <v>46144.463506944441</v>
      </c>
      <c r="F317" s="9">
        <f>IF($K317="cancelled"," ",(quick_commerce_orders[[#This Row],[delivery_time]]-quick_commerce_orders[[#This Row],[order_time]])*1440)</f>
        <v>15.999999999767169</v>
      </c>
      <c r="G317" s="2">
        <v>1359.55</v>
      </c>
      <c r="H317" s="2" t="str">
        <f>IF(quick_commerce_orders[[#This Row],[order_value]]&lt;500,"Low",IF(quick_commerce_orders[[#This Row],[order_value]]&gt;1500,"High","Moderate"))</f>
        <v>Moderate</v>
      </c>
      <c r="I3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17" s="2" t="s">
        <v>80</v>
      </c>
      <c r="K317" s="2" t="s">
        <v>16</v>
      </c>
    </row>
    <row r="318" spans="1:11" x14ac:dyDescent="0.2">
      <c r="A318" s="2" t="s">
        <v>653</v>
      </c>
      <c r="B318" s="2" t="s">
        <v>654</v>
      </c>
      <c r="C318" s="2" t="s">
        <v>27</v>
      </c>
      <c r="D318" s="3">
        <v>46160.669629629629</v>
      </c>
      <c r="E318" s="3">
        <v>46160.681435185186</v>
      </c>
      <c r="F318" s="9">
        <f>IF($K318="cancelled"," ",(quick_commerce_orders[[#This Row],[delivery_time]]-quick_commerce_orders[[#This Row],[order_time]])*1440)</f>
        <v>17.000000003026798</v>
      </c>
      <c r="G318" s="2">
        <v>2200.88</v>
      </c>
      <c r="H318" s="2" t="str">
        <f>IF(quick_commerce_orders[[#This Row],[order_value]]&lt;500,"Low",IF(quick_commerce_orders[[#This Row],[order_value]]&gt;1500,"High","Moderate"))</f>
        <v>High</v>
      </c>
      <c r="I3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18" s="2" t="s">
        <v>15</v>
      </c>
      <c r="K318" s="2" t="s">
        <v>16</v>
      </c>
    </row>
    <row r="319" spans="1:11" x14ac:dyDescent="0.2">
      <c r="A319" s="2" t="s">
        <v>655</v>
      </c>
      <c r="B319" s="2" t="s">
        <v>656</v>
      </c>
      <c r="C319" s="2" t="s">
        <v>53</v>
      </c>
      <c r="D319" s="3">
        <v>46147.645509259259</v>
      </c>
      <c r="E319" s="3">
        <v>46147.658009259256</v>
      </c>
      <c r="F319" s="9">
        <f>IF($K319="cancelled"," ",(quick_commerce_orders[[#This Row],[delivery_time]]-quick_commerce_orders[[#This Row],[order_time]])*1440)</f>
        <v>17.999999995809048</v>
      </c>
      <c r="G319" s="2">
        <v>1987.61</v>
      </c>
      <c r="H319" s="2" t="str">
        <f>IF(quick_commerce_orders[[#This Row],[order_value]]&lt;500,"Low",IF(quick_commerce_orders[[#This Row],[order_value]]&gt;1500,"High","Moderate"))</f>
        <v>High</v>
      </c>
      <c r="I3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19" s="2" t="s">
        <v>39</v>
      </c>
      <c r="K319" s="2" t="s">
        <v>16</v>
      </c>
    </row>
    <row r="320" spans="1:11" x14ac:dyDescent="0.2">
      <c r="A320" s="2" t="s">
        <v>657</v>
      </c>
      <c r="B320" s="2" t="s">
        <v>658</v>
      </c>
      <c r="C320" s="2" t="s">
        <v>10</v>
      </c>
      <c r="D320" s="3">
        <v>46166.063819444447</v>
      </c>
      <c r="E320" s="3">
        <v>46166.076319444444</v>
      </c>
      <c r="F320" s="9">
        <f>IF($K320="cancelled"," ",(quick_commerce_orders[[#This Row],[delivery_time]]-quick_commerce_orders[[#This Row],[order_time]])*1440)</f>
        <v>17.999999995809048</v>
      </c>
      <c r="G320" s="2">
        <v>1348.56</v>
      </c>
      <c r="H320" s="2" t="str">
        <f>IF(quick_commerce_orders[[#This Row],[order_value]]&lt;500,"Low",IF(quick_commerce_orders[[#This Row],[order_value]]&gt;1500,"High","Moderate"))</f>
        <v>Moderate</v>
      </c>
      <c r="I3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20" s="2" t="s">
        <v>80</v>
      </c>
      <c r="K320" s="2" t="s">
        <v>16</v>
      </c>
    </row>
    <row r="321" spans="1:11" x14ac:dyDescent="0.2">
      <c r="A321" s="2" t="s">
        <v>659</v>
      </c>
      <c r="B321" s="2" t="s">
        <v>660</v>
      </c>
      <c r="C321" s="2" t="s">
        <v>19</v>
      </c>
      <c r="D321" s="3">
        <v>46153.465462962966</v>
      </c>
      <c r="E321" s="3">
        <v>46153.489074074074</v>
      </c>
      <c r="F321" s="9">
        <f>IF($K321="cancelled"," ",(quick_commerce_orders[[#This Row],[delivery_time]]-quick_commerce_orders[[#This Row],[order_time]])*1440)</f>
        <v>33.999999995576218</v>
      </c>
      <c r="G321" s="2">
        <v>1182.8599999999999</v>
      </c>
      <c r="H321" s="2" t="str">
        <f>IF(quick_commerce_orders[[#This Row],[order_value]]&lt;500,"Low",IF(quick_commerce_orders[[#This Row],[order_value]]&gt;1500,"High","Moderate"))</f>
        <v>Moderate</v>
      </c>
      <c r="I3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21" s="2" t="s">
        <v>20</v>
      </c>
      <c r="K321" s="2" t="s">
        <v>12</v>
      </c>
    </row>
    <row r="322" spans="1:11" x14ac:dyDescent="0.2">
      <c r="A322" s="2" t="s">
        <v>661</v>
      </c>
      <c r="B322" s="2" t="s">
        <v>662</v>
      </c>
      <c r="C322" s="2" t="s">
        <v>19</v>
      </c>
      <c r="D322" s="3">
        <v>46149.780393518522</v>
      </c>
      <c r="E322" s="3">
        <v>46149.785949074074</v>
      </c>
      <c r="F322" s="9">
        <f>IF($K322="cancelled"," ",(quick_commerce_orders[[#This Row],[delivery_time]]-quick_commerce_orders[[#This Row],[order_time]])*1440)</f>
        <v>7.9999999946448952</v>
      </c>
      <c r="G322" s="2">
        <v>2083.8200000000002</v>
      </c>
      <c r="H322" s="2" t="str">
        <f>IF(quick_commerce_orders[[#This Row],[order_value]]&lt;500,"Low",IF(quick_commerce_orders[[#This Row],[order_value]]&gt;1500,"High","Moderate"))</f>
        <v>High</v>
      </c>
      <c r="I3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22" s="2" t="s">
        <v>80</v>
      </c>
      <c r="K322" s="2" t="s">
        <v>16</v>
      </c>
    </row>
    <row r="323" spans="1:11" x14ac:dyDescent="0.2">
      <c r="A323" s="2" t="s">
        <v>663</v>
      </c>
      <c r="B323" s="2" t="s">
        <v>664</v>
      </c>
      <c r="C323" s="2" t="s">
        <v>34</v>
      </c>
      <c r="D323" s="3">
        <v>46150.324675925927</v>
      </c>
      <c r="E323" s="3">
        <v>46150.332314814812</v>
      </c>
      <c r="F323" s="9">
        <f>IF($K323="cancelled"," ",(quick_commerce_orders[[#This Row],[delivery_time]]-quick_commerce_orders[[#This Row],[order_time]])*1440)</f>
        <v>10.999999993946403</v>
      </c>
      <c r="G323" s="2">
        <v>200.8</v>
      </c>
      <c r="H323" s="2" t="str">
        <f>IF(quick_commerce_orders[[#This Row],[order_value]]&lt;500,"Low",IF(quick_commerce_orders[[#This Row],[order_value]]&gt;1500,"High","Moderate"))</f>
        <v>Low</v>
      </c>
      <c r="I3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23" s="2" t="s">
        <v>11</v>
      </c>
      <c r="K323" s="2" t="s">
        <v>16</v>
      </c>
    </row>
    <row r="324" spans="1:11" x14ac:dyDescent="0.2">
      <c r="A324" s="2" t="s">
        <v>665</v>
      </c>
      <c r="B324" s="2" t="s">
        <v>666</v>
      </c>
      <c r="C324" s="2" t="s">
        <v>31</v>
      </c>
      <c r="D324" s="3">
        <v>46143.07980324074</v>
      </c>
      <c r="E324" s="3">
        <v>46143.090914351851</v>
      </c>
      <c r="F324" s="9">
        <f>IF($K324="cancelled"," ",(quick_commerce_orders[[#This Row],[delivery_time]]-quick_commerce_orders[[#This Row],[order_time]])*1440)</f>
        <v>15.999999999767169</v>
      </c>
      <c r="G324" s="2">
        <v>2489.0100000000002</v>
      </c>
      <c r="H324" s="2" t="str">
        <f>IF(quick_commerce_orders[[#This Row],[order_value]]&lt;500,"Low",IF(quick_commerce_orders[[#This Row],[order_value]]&gt;1500,"High","Moderate"))</f>
        <v>High</v>
      </c>
      <c r="I3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24" s="2" t="s">
        <v>15</v>
      </c>
      <c r="K324" s="2" t="s">
        <v>16</v>
      </c>
    </row>
    <row r="325" spans="1:11" x14ac:dyDescent="0.2">
      <c r="A325" s="2" t="s">
        <v>667</v>
      </c>
      <c r="B325" s="2" t="s">
        <v>668</v>
      </c>
      <c r="C325" s="2" t="s">
        <v>42</v>
      </c>
      <c r="D325" s="3">
        <v>46143.293402777781</v>
      </c>
      <c r="E325" s="3">
        <v>46143.304513888892</v>
      </c>
      <c r="F325" s="9">
        <f>IF($K325="cancelled"," ",(quick_commerce_orders[[#This Row],[delivery_time]]-quick_commerce_orders[[#This Row],[order_time]])*1440)</f>
        <v>15.999999999767169</v>
      </c>
      <c r="G325" s="2">
        <v>1343.89</v>
      </c>
      <c r="H325" s="2" t="str">
        <f>IF(quick_commerce_orders[[#This Row],[order_value]]&lt;500,"Low",IF(quick_commerce_orders[[#This Row],[order_value]]&gt;1500,"High","Moderate"))</f>
        <v>Moderate</v>
      </c>
      <c r="I3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25" s="2" t="s">
        <v>15</v>
      </c>
      <c r="K325" s="2" t="s">
        <v>16</v>
      </c>
    </row>
    <row r="326" spans="1:11" x14ac:dyDescent="0.2">
      <c r="A326" s="2" t="s">
        <v>669</v>
      </c>
      <c r="B326" s="2" t="s">
        <v>670</v>
      </c>
      <c r="C326" s="2" t="s">
        <v>31</v>
      </c>
      <c r="D326" s="3">
        <v>46166.540381944447</v>
      </c>
      <c r="E326" s="3">
        <v>46166.545937499999</v>
      </c>
      <c r="F326" s="9">
        <f>IF($K326="cancelled"," ",(quick_commerce_orders[[#This Row],[delivery_time]]-quick_commerce_orders[[#This Row],[order_time]])*1440)</f>
        <v>7.9999999946448952</v>
      </c>
      <c r="G326" s="2">
        <v>1048.47</v>
      </c>
      <c r="H326" s="2" t="str">
        <f>IF(quick_commerce_orders[[#This Row],[order_value]]&lt;500,"Low",IF(quick_commerce_orders[[#This Row],[order_value]]&gt;1500,"High","Moderate"))</f>
        <v>Moderate</v>
      </c>
      <c r="I3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26" s="2" t="s">
        <v>15</v>
      </c>
      <c r="K326" s="2" t="s">
        <v>16</v>
      </c>
    </row>
    <row r="327" spans="1:11" x14ac:dyDescent="0.2">
      <c r="A327" s="2" t="s">
        <v>671</v>
      </c>
      <c r="B327" s="2" t="s">
        <v>672</v>
      </c>
      <c r="C327" s="2" t="s">
        <v>75</v>
      </c>
      <c r="D327" s="3">
        <v>46154.066562499997</v>
      </c>
      <c r="E327" s="3">
        <v>46154.076284722221</v>
      </c>
      <c r="F327" s="9">
        <f>IF($K327="cancelled"," ",(quick_commerce_orders[[#This Row],[delivery_time]]-quick_commerce_orders[[#This Row],[order_time]])*1440)</f>
        <v>14.00000000372529</v>
      </c>
      <c r="G327" s="2">
        <v>1863.41</v>
      </c>
      <c r="H327" s="2" t="str">
        <f>IF(quick_commerce_orders[[#This Row],[order_value]]&lt;500,"Low",IF(quick_commerce_orders[[#This Row],[order_value]]&gt;1500,"High","Moderate"))</f>
        <v>High</v>
      </c>
      <c r="I3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27" s="2" t="s">
        <v>28</v>
      </c>
      <c r="K327" s="2" t="s">
        <v>16</v>
      </c>
    </row>
    <row r="328" spans="1:11" x14ac:dyDescent="0.2">
      <c r="A328" s="2" t="s">
        <v>673</v>
      </c>
      <c r="B328" s="2" t="s">
        <v>674</v>
      </c>
      <c r="C328" s="2" t="s">
        <v>31</v>
      </c>
      <c r="D328" s="3">
        <v>46169.30572916667</v>
      </c>
      <c r="E328" s="3">
        <v>46169.314756944441</v>
      </c>
      <c r="F328" s="9">
        <f>IF($K328="cancelled"," ",(quick_commerce_orders[[#This Row],[delivery_time]]-quick_commerce_orders[[#This Row],[order_time]])*1440)</f>
        <v>12.999999989988282</v>
      </c>
      <c r="G328" s="2">
        <v>1437.48</v>
      </c>
      <c r="H328" s="2" t="str">
        <f>IF(quick_commerce_orders[[#This Row],[order_value]]&lt;500,"Low",IF(quick_commerce_orders[[#This Row],[order_value]]&gt;1500,"High","Moderate"))</f>
        <v>Moderate</v>
      </c>
      <c r="I3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28" s="2" t="s">
        <v>11</v>
      </c>
      <c r="K328" s="2" t="s">
        <v>16</v>
      </c>
    </row>
    <row r="329" spans="1:11" x14ac:dyDescent="0.2">
      <c r="A329" s="2" t="s">
        <v>675</v>
      </c>
      <c r="B329" s="2" t="s">
        <v>676</v>
      </c>
      <c r="C329" s="2" t="s">
        <v>53</v>
      </c>
      <c r="D329" s="3">
        <v>46169.972418981481</v>
      </c>
      <c r="E329" s="3">
        <v>46169.980057870373</v>
      </c>
      <c r="F329" s="9">
        <f>IF($K329="cancelled"," ",(quick_commerce_orders[[#This Row],[delivery_time]]-quick_commerce_orders[[#This Row],[order_time]])*1440)</f>
        <v>11.000000004423782</v>
      </c>
      <c r="G329" s="2">
        <v>1337.7</v>
      </c>
      <c r="H329" s="2" t="str">
        <f>IF(quick_commerce_orders[[#This Row],[order_value]]&lt;500,"Low",IF(quick_commerce_orders[[#This Row],[order_value]]&gt;1500,"High","Moderate"))</f>
        <v>Moderate</v>
      </c>
      <c r="I3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29" s="2" t="s">
        <v>39</v>
      </c>
      <c r="K329" s="2" t="s">
        <v>16</v>
      </c>
    </row>
    <row r="330" spans="1:11" x14ac:dyDescent="0.2">
      <c r="A330" s="2" t="s">
        <v>677</v>
      </c>
      <c r="B330" s="2" t="s">
        <v>554</v>
      </c>
      <c r="C330" s="2" t="s">
        <v>27</v>
      </c>
      <c r="D330" s="3">
        <v>46147.766053240739</v>
      </c>
      <c r="E330" s="3">
        <v>46147.773692129631</v>
      </c>
      <c r="F330" s="9">
        <f>IF($K330="cancelled"," ",(quick_commerce_orders[[#This Row],[delivery_time]]-quick_commerce_orders[[#This Row],[order_time]])*1440)</f>
        <v>11.000000004423782</v>
      </c>
      <c r="G330" s="2">
        <v>1612.56</v>
      </c>
      <c r="H330" s="2" t="str">
        <f>IF(quick_commerce_orders[[#This Row],[order_value]]&lt;500,"Low",IF(quick_commerce_orders[[#This Row],[order_value]]&gt;1500,"High","Moderate"))</f>
        <v>High</v>
      </c>
      <c r="I3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30" s="2" t="s">
        <v>15</v>
      </c>
      <c r="K330" s="2" t="s">
        <v>16</v>
      </c>
    </row>
    <row r="331" spans="1:11" x14ac:dyDescent="0.2">
      <c r="A331" s="2" t="s">
        <v>678</v>
      </c>
      <c r="B331" s="2" t="s">
        <v>679</v>
      </c>
      <c r="C331" s="2" t="s">
        <v>42</v>
      </c>
      <c r="D331" s="3">
        <v>46146.218645833331</v>
      </c>
      <c r="E331" s="3">
        <v>46146.231145833335</v>
      </c>
      <c r="F331" s="9">
        <f>IF($K331="cancelled"," ",(quick_commerce_orders[[#This Row],[delivery_time]]-quick_commerce_orders[[#This Row],[order_time]])*1440)</f>
        <v>18.000000006286427</v>
      </c>
      <c r="G331" s="2">
        <v>217.31</v>
      </c>
      <c r="H331" s="2" t="str">
        <f>IF(quick_commerce_orders[[#This Row],[order_value]]&lt;500,"Low",IF(quick_commerce_orders[[#This Row],[order_value]]&gt;1500,"High","Moderate"))</f>
        <v>Low</v>
      </c>
      <c r="I3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31" s="2" t="s">
        <v>80</v>
      </c>
      <c r="K331" s="2" t="s">
        <v>16</v>
      </c>
    </row>
    <row r="332" spans="1:11" x14ac:dyDescent="0.2">
      <c r="A332" s="2" t="s">
        <v>680</v>
      </c>
      <c r="B332" s="2" t="s">
        <v>681</v>
      </c>
      <c r="C332" s="2" t="s">
        <v>42</v>
      </c>
      <c r="D332" s="3">
        <v>46145.503425925926</v>
      </c>
      <c r="E332" s="3">
        <v>46145.511064814818</v>
      </c>
      <c r="F332" s="9">
        <f>IF($K332="cancelled"," ",(quick_commerce_orders[[#This Row],[delivery_time]]-quick_commerce_orders[[#This Row],[order_time]])*1440)</f>
        <v>11.000000004423782</v>
      </c>
      <c r="G332" s="2">
        <v>797.83</v>
      </c>
      <c r="H332" s="2" t="str">
        <f>IF(quick_commerce_orders[[#This Row],[order_value]]&lt;500,"Low",IF(quick_commerce_orders[[#This Row],[order_value]]&gt;1500,"High","Moderate"))</f>
        <v>Moderate</v>
      </c>
      <c r="I3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32" s="2" t="s">
        <v>11</v>
      </c>
      <c r="K332" s="2" t="s">
        <v>16</v>
      </c>
    </row>
    <row r="333" spans="1:11" x14ac:dyDescent="0.2">
      <c r="A333" s="2" t="s">
        <v>682</v>
      </c>
      <c r="B333" s="2" t="s">
        <v>683</v>
      </c>
      <c r="C333" s="2" t="s">
        <v>27</v>
      </c>
      <c r="D333" s="3">
        <v>46172.40965277778</v>
      </c>
      <c r="E333" s="3">
        <v>46172.423541666663</v>
      </c>
      <c r="F333" s="9">
        <f>IF($K333="cancelled"," ",(quick_commerce_orders[[#This Row],[delivery_time]]-quick_commerce_orders[[#This Row],[order_time]])*1440)</f>
        <v>19.999999991850927</v>
      </c>
      <c r="G333" s="2">
        <v>1054.3</v>
      </c>
      <c r="H333" s="2" t="str">
        <f>IF(quick_commerce_orders[[#This Row],[order_value]]&lt;500,"Low",IF(quick_commerce_orders[[#This Row],[order_value]]&gt;1500,"High","Moderate"))</f>
        <v>Moderate</v>
      </c>
      <c r="I3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33" s="2" t="s">
        <v>39</v>
      </c>
      <c r="K333" s="2" t="s">
        <v>16</v>
      </c>
    </row>
    <row r="334" spans="1:11" x14ac:dyDescent="0.2">
      <c r="A334" s="2" t="s">
        <v>684</v>
      </c>
      <c r="B334" s="2" t="s">
        <v>685</v>
      </c>
      <c r="C334" s="2" t="s">
        <v>53</v>
      </c>
      <c r="D334" s="3">
        <v>46162.420543981483</v>
      </c>
      <c r="E334" s="3">
        <v>46162.426793981482</v>
      </c>
      <c r="F334" s="9">
        <f>IF($K334="cancelled"," ",(quick_commerce_orders[[#This Row],[delivery_time]]-quick_commerce_orders[[#This Row],[order_time]])*1440)</f>
        <v>8.9999999979045242</v>
      </c>
      <c r="G334" s="2">
        <v>829.93</v>
      </c>
      <c r="H334" s="2" t="str">
        <f>IF(quick_commerce_orders[[#This Row],[order_value]]&lt;500,"Low",IF(quick_commerce_orders[[#This Row],[order_value]]&gt;1500,"High","Moderate"))</f>
        <v>Moderate</v>
      </c>
      <c r="I3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34" s="2" t="s">
        <v>15</v>
      </c>
      <c r="K334" s="2" t="s">
        <v>16</v>
      </c>
    </row>
    <row r="335" spans="1:11" x14ac:dyDescent="0.2">
      <c r="A335" s="2" t="s">
        <v>686</v>
      </c>
      <c r="B335" s="2" t="s">
        <v>687</v>
      </c>
      <c r="C335" s="2" t="s">
        <v>75</v>
      </c>
      <c r="D335" s="3">
        <v>46172.016111111108</v>
      </c>
      <c r="E335" s="3">
        <v>46172.025138888886</v>
      </c>
      <c r="F335" s="9">
        <f>IF($K335="cancelled"," ",(quick_commerce_orders[[#This Row],[delivery_time]]-quick_commerce_orders[[#This Row],[order_time]])*1440)</f>
        <v>13.000000000465661</v>
      </c>
      <c r="G335" s="2">
        <v>2085.29</v>
      </c>
      <c r="H335" s="2" t="str">
        <f>IF(quick_commerce_orders[[#This Row],[order_value]]&lt;500,"Low",IF(quick_commerce_orders[[#This Row],[order_value]]&gt;1500,"High","Moderate"))</f>
        <v>High</v>
      </c>
      <c r="I3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35" s="2" t="s">
        <v>11</v>
      </c>
      <c r="K335" s="2" t="s">
        <v>16</v>
      </c>
    </row>
    <row r="336" spans="1:11" x14ac:dyDescent="0.2">
      <c r="A336" s="2" t="s">
        <v>688</v>
      </c>
      <c r="B336" s="2" t="s">
        <v>689</v>
      </c>
      <c r="C336" s="2" t="s">
        <v>34</v>
      </c>
      <c r="D336" s="3">
        <v>46161.784942129627</v>
      </c>
      <c r="E336" s="3">
        <v>46161.792581018519</v>
      </c>
      <c r="F336" s="9">
        <f>IF($K336="cancelled"," ",(quick_commerce_orders[[#This Row],[delivery_time]]-quick_commerce_orders[[#This Row],[order_time]])*1440)</f>
        <v>11.000000004423782</v>
      </c>
      <c r="G336" s="2">
        <v>1206.23</v>
      </c>
      <c r="H336" s="2" t="str">
        <f>IF(quick_commerce_orders[[#This Row],[order_value]]&lt;500,"Low",IF(quick_commerce_orders[[#This Row],[order_value]]&gt;1500,"High","Moderate"))</f>
        <v>Moderate</v>
      </c>
      <c r="I3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36" s="2" t="s">
        <v>80</v>
      </c>
      <c r="K336" s="2" t="s">
        <v>16</v>
      </c>
    </row>
    <row r="337" spans="1:11" x14ac:dyDescent="0.2">
      <c r="A337" s="2" t="s">
        <v>690</v>
      </c>
      <c r="B337" s="2" t="s">
        <v>691</v>
      </c>
      <c r="C337" s="2" t="s">
        <v>19</v>
      </c>
      <c r="D337" s="3">
        <v>46158.599733796298</v>
      </c>
      <c r="E337" s="3">
        <v>46158.612233796295</v>
      </c>
      <c r="F337" s="9">
        <f>IF($K337="cancelled"," ",(quick_commerce_orders[[#This Row],[delivery_time]]-quick_commerce_orders[[#This Row],[order_time]])*1440)</f>
        <v>17.999999995809048</v>
      </c>
      <c r="G337" s="2">
        <v>1112.9100000000001</v>
      </c>
      <c r="H337" s="2" t="str">
        <f>IF(quick_commerce_orders[[#This Row],[order_value]]&lt;500,"Low",IF(quick_commerce_orders[[#This Row],[order_value]]&gt;1500,"High","Moderate"))</f>
        <v>Moderate</v>
      </c>
      <c r="I3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37" s="2" t="s">
        <v>39</v>
      </c>
      <c r="K337" s="2" t="s">
        <v>16</v>
      </c>
    </row>
    <row r="338" spans="1:11" x14ac:dyDescent="0.2">
      <c r="A338" s="2" t="s">
        <v>692</v>
      </c>
      <c r="B338" s="2" t="s">
        <v>693</v>
      </c>
      <c r="C338" s="2" t="s">
        <v>34</v>
      </c>
      <c r="D338" s="3">
        <v>46174.282604166663</v>
      </c>
      <c r="E338" s="3">
        <v>46174.320798611108</v>
      </c>
      <c r="F338" s="9">
        <f>IF($K338="cancelled"," ",(quick_commerce_orders[[#This Row],[delivery_time]]-quick_commerce_orders[[#This Row],[order_time]])*1440)</f>
        <v>55.000000001164153</v>
      </c>
      <c r="G338" s="2">
        <v>1570.52</v>
      </c>
      <c r="H338" s="2" t="str">
        <f>IF(quick_commerce_orders[[#This Row],[order_value]]&lt;500,"Low",IF(quick_commerce_orders[[#This Row],[order_value]]&gt;1500,"High","Moderate"))</f>
        <v>High</v>
      </c>
      <c r="I3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38" s="2" t="s">
        <v>39</v>
      </c>
      <c r="K338" s="2" t="s">
        <v>12</v>
      </c>
    </row>
    <row r="339" spans="1:11" x14ac:dyDescent="0.2">
      <c r="A339" s="2" t="s">
        <v>694</v>
      </c>
      <c r="B339" s="2" t="s">
        <v>695</v>
      </c>
      <c r="C339" s="2" t="s">
        <v>34</v>
      </c>
      <c r="D339" s="3">
        <v>46158.167349537034</v>
      </c>
      <c r="E339" s="3"/>
      <c r="F339" s="9" t="str">
        <f>IF($K339="cancelled"," ",(quick_commerce_orders[[#This Row],[delivery_time]]-quick_commerce_orders[[#This Row],[order_time]])*1440)</f>
        <v xml:space="preserve"> </v>
      </c>
      <c r="G339" s="2">
        <v>229.91</v>
      </c>
      <c r="H339" s="2" t="str">
        <f>IF(quick_commerce_orders[[#This Row],[order_value]]&lt;500,"Low",IF(quick_commerce_orders[[#This Row],[order_value]]&gt;1500,"High","Moderate"))</f>
        <v>Low</v>
      </c>
      <c r="I3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39" s="2" t="s">
        <v>20</v>
      </c>
      <c r="K339" s="2" t="s">
        <v>58</v>
      </c>
    </row>
    <row r="340" spans="1:11" x14ac:dyDescent="0.2">
      <c r="A340" s="2" t="s">
        <v>696</v>
      </c>
      <c r="B340" s="2" t="s">
        <v>697</v>
      </c>
      <c r="C340" s="2" t="s">
        <v>19</v>
      </c>
      <c r="D340" s="3">
        <v>46169.010115740741</v>
      </c>
      <c r="E340" s="3"/>
      <c r="F340" s="9" t="str">
        <f>IF($K340="cancelled"," ",(quick_commerce_orders[[#This Row],[delivery_time]]-quick_commerce_orders[[#This Row],[order_time]])*1440)</f>
        <v xml:space="preserve"> </v>
      </c>
      <c r="G340" s="2">
        <v>1339.73</v>
      </c>
      <c r="H340" s="2" t="str">
        <f>IF(quick_commerce_orders[[#This Row],[order_value]]&lt;500,"Low",IF(quick_commerce_orders[[#This Row],[order_value]]&gt;1500,"High","Moderate"))</f>
        <v>Moderate</v>
      </c>
      <c r="I3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0" s="2" t="s">
        <v>80</v>
      </c>
      <c r="K340" s="2" t="s">
        <v>58</v>
      </c>
    </row>
    <row r="341" spans="1:11" x14ac:dyDescent="0.2">
      <c r="A341" s="2" t="s">
        <v>698</v>
      </c>
      <c r="B341" s="2" t="s">
        <v>699</v>
      </c>
      <c r="C341" s="2" t="s">
        <v>75</v>
      </c>
      <c r="D341" s="3">
        <v>46165.870648148149</v>
      </c>
      <c r="E341" s="3"/>
      <c r="F341" s="9" t="str">
        <f>IF($K341="cancelled"," ",(quick_commerce_orders[[#This Row],[delivery_time]]-quick_commerce_orders[[#This Row],[order_time]])*1440)</f>
        <v xml:space="preserve"> </v>
      </c>
      <c r="G341" s="2">
        <v>440.38</v>
      </c>
      <c r="H341" s="2" t="str">
        <f>IF(quick_commerce_orders[[#This Row],[order_value]]&lt;500,"Low",IF(quick_commerce_orders[[#This Row],[order_value]]&gt;1500,"High","Moderate"))</f>
        <v>Low</v>
      </c>
      <c r="I3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1" s="2" t="s">
        <v>20</v>
      </c>
      <c r="K341" s="2" t="s">
        <v>58</v>
      </c>
    </row>
    <row r="342" spans="1:11" x14ac:dyDescent="0.2">
      <c r="A342" s="2" t="s">
        <v>700</v>
      </c>
      <c r="B342" s="2" t="s">
        <v>701</v>
      </c>
      <c r="C342" s="2" t="s">
        <v>10</v>
      </c>
      <c r="D342" s="3">
        <v>46143.417222222219</v>
      </c>
      <c r="E342" s="3">
        <v>46143.43041666667</v>
      </c>
      <c r="F342" s="9">
        <f>IF($K342="cancelled"," ",(quick_commerce_orders[[#This Row],[delivery_time]]-quick_commerce_orders[[#This Row],[order_time]])*1440)</f>
        <v>19.000000009546056</v>
      </c>
      <c r="G342" s="2">
        <v>2090.7399999999998</v>
      </c>
      <c r="H342" s="2" t="str">
        <f>IF(quick_commerce_orders[[#This Row],[order_value]]&lt;500,"Low",IF(quick_commerce_orders[[#This Row],[order_value]]&gt;1500,"High","Moderate"))</f>
        <v>High</v>
      </c>
      <c r="I3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42" s="2" t="s">
        <v>15</v>
      </c>
      <c r="K342" s="2" t="s">
        <v>16</v>
      </c>
    </row>
    <row r="343" spans="1:11" x14ac:dyDescent="0.2">
      <c r="A343" s="2" t="s">
        <v>702</v>
      </c>
      <c r="B343" s="2" t="s">
        <v>703</v>
      </c>
      <c r="C343" s="2" t="s">
        <v>53</v>
      </c>
      <c r="D343" s="3">
        <v>46167.990497685183</v>
      </c>
      <c r="E343" s="3">
        <v>46168.003692129627</v>
      </c>
      <c r="F343" s="9">
        <f>IF($K343="cancelled"," ",(quick_commerce_orders[[#This Row],[delivery_time]]-quick_commerce_orders[[#This Row],[order_time]])*1440)</f>
        <v>18.999999999068677</v>
      </c>
      <c r="G343" s="2">
        <v>1183.08</v>
      </c>
      <c r="H343" s="2" t="str">
        <f>IF(quick_commerce_orders[[#This Row],[order_value]]&lt;500,"Low",IF(quick_commerce_orders[[#This Row],[order_value]]&gt;1500,"High","Moderate"))</f>
        <v>Moderate</v>
      </c>
      <c r="I3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3" s="2" t="s">
        <v>39</v>
      </c>
      <c r="K343" s="2" t="s">
        <v>16</v>
      </c>
    </row>
    <row r="344" spans="1:11" x14ac:dyDescent="0.2">
      <c r="A344" s="2" t="s">
        <v>704</v>
      </c>
      <c r="B344" s="2" t="s">
        <v>705</v>
      </c>
      <c r="C344" s="2" t="s">
        <v>31</v>
      </c>
      <c r="D344" s="3">
        <v>46149.273090277777</v>
      </c>
      <c r="E344" s="3">
        <v>46149.283506944441</v>
      </c>
      <c r="F344" s="9">
        <f>IF($K344="cancelled"," ",(quick_commerce_orders[[#This Row],[delivery_time]]-quick_commerce_orders[[#This Row],[order_time]])*1440)</f>
        <v>14.99999999650754</v>
      </c>
      <c r="G344" s="2">
        <v>1833.35</v>
      </c>
      <c r="H344" s="2" t="str">
        <f>IF(quick_commerce_orders[[#This Row],[order_value]]&lt;500,"Low",IF(quick_commerce_orders[[#This Row],[order_value]]&gt;1500,"High","Moderate"))</f>
        <v>High</v>
      </c>
      <c r="I3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44" s="2" t="s">
        <v>80</v>
      </c>
      <c r="K344" s="2" t="s">
        <v>16</v>
      </c>
    </row>
    <row r="345" spans="1:11" x14ac:dyDescent="0.2">
      <c r="A345" s="2" t="s">
        <v>706</v>
      </c>
      <c r="B345" s="2" t="s">
        <v>707</v>
      </c>
      <c r="C345" s="2" t="s">
        <v>19</v>
      </c>
      <c r="D345" s="3">
        <v>46169.627187500002</v>
      </c>
      <c r="E345" s="3">
        <v>46169.638993055552</v>
      </c>
      <c r="F345" s="9">
        <f>IF($K345="cancelled"," ",(quick_commerce_orders[[#This Row],[delivery_time]]-quick_commerce_orders[[#This Row],[order_time]])*1440)</f>
        <v>16.999999992549419</v>
      </c>
      <c r="G345" s="2">
        <v>370.61</v>
      </c>
      <c r="H345" s="2" t="str">
        <f>IF(quick_commerce_orders[[#This Row],[order_value]]&lt;500,"Low",IF(quick_commerce_orders[[#This Row],[order_value]]&gt;1500,"High","Moderate"))</f>
        <v>Low</v>
      </c>
      <c r="I3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5" s="2" t="s">
        <v>80</v>
      </c>
      <c r="K345" s="2" t="s">
        <v>16</v>
      </c>
    </row>
    <row r="346" spans="1:11" x14ac:dyDescent="0.2">
      <c r="A346" s="2" t="s">
        <v>708</v>
      </c>
      <c r="B346" s="2" t="s">
        <v>709</v>
      </c>
      <c r="C346" s="2" t="s">
        <v>53</v>
      </c>
      <c r="D346" s="3">
        <v>46160.085393518515</v>
      </c>
      <c r="E346" s="3">
        <v>46160.098587962966</v>
      </c>
      <c r="F346" s="9">
        <f>IF($K346="cancelled"," ",(quick_commerce_orders[[#This Row],[delivery_time]]-quick_commerce_orders[[#This Row],[order_time]])*1440)</f>
        <v>19.000000009546056</v>
      </c>
      <c r="G346" s="2">
        <v>1967.95</v>
      </c>
      <c r="H346" s="2" t="str">
        <f>IF(quick_commerce_orders[[#This Row],[order_value]]&lt;500,"Low",IF(quick_commerce_orders[[#This Row],[order_value]]&gt;1500,"High","Moderate"))</f>
        <v>High</v>
      </c>
      <c r="I3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46" s="2" t="s">
        <v>28</v>
      </c>
      <c r="K346" s="2" t="s">
        <v>16</v>
      </c>
    </row>
    <row r="347" spans="1:11" x14ac:dyDescent="0.2">
      <c r="A347" s="2" t="s">
        <v>710</v>
      </c>
      <c r="B347" s="2" t="s">
        <v>711</v>
      </c>
      <c r="C347" s="2" t="s">
        <v>75</v>
      </c>
      <c r="D347" s="3">
        <v>46157.685231481482</v>
      </c>
      <c r="E347" s="3">
        <v>46157.69425925926</v>
      </c>
      <c r="F347" s="9">
        <f>IF($K347="cancelled"," ",(quick_commerce_orders[[#This Row],[delivery_time]]-quick_commerce_orders[[#This Row],[order_time]])*1440)</f>
        <v>13.000000000465661</v>
      </c>
      <c r="G347" s="2">
        <v>2349.8200000000002</v>
      </c>
      <c r="H347" s="2" t="str">
        <f>IF(quick_commerce_orders[[#This Row],[order_value]]&lt;500,"Low",IF(quick_commerce_orders[[#This Row],[order_value]]&gt;1500,"High","Moderate"))</f>
        <v>High</v>
      </c>
      <c r="I3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7" s="2" t="s">
        <v>11</v>
      </c>
      <c r="K347" s="2" t="s">
        <v>16</v>
      </c>
    </row>
    <row r="348" spans="1:11" x14ac:dyDescent="0.2">
      <c r="A348" s="2" t="s">
        <v>712</v>
      </c>
      <c r="B348" s="2" t="s">
        <v>713</v>
      </c>
      <c r="C348" s="2" t="s">
        <v>34</v>
      </c>
      <c r="D348" s="3">
        <v>46166.616030092591</v>
      </c>
      <c r="E348" s="3">
        <v>46166.627835648149</v>
      </c>
      <c r="F348" s="9">
        <f>IF($K348="cancelled"," ",(quick_commerce_orders[[#This Row],[delivery_time]]-quick_commerce_orders[[#This Row],[order_time]])*1440)</f>
        <v>17.000000003026798</v>
      </c>
      <c r="G348" s="2">
        <v>1769.67</v>
      </c>
      <c r="H348" s="2" t="str">
        <f>IF(quick_commerce_orders[[#This Row],[order_value]]&lt;500,"Low",IF(quick_commerce_orders[[#This Row],[order_value]]&gt;1500,"High","Moderate"))</f>
        <v>High</v>
      </c>
      <c r="I3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8" s="2" t="s">
        <v>15</v>
      </c>
      <c r="K348" s="2" t="s">
        <v>16</v>
      </c>
    </row>
    <row r="349" spans="1:11" x14ac:dyDescent="0.2">
      <c r="A349" s="2" t="s">
        <v>714</v>
      </c>
      <c r="B349" s="2" t="s">
        <v>715</v>
      </c>
      <c r="C349" s="2" t="s">
        <v>75</v>
      </c>
      <c r="D349" s="3">
        <v>46149.672685185185</v>
      </c>
      <c r="E349" s="3">
        <v>46149.684490740743</v>
      </c>
      <c r="F349" s="9">
        <f>IF($K349="cancelled"," ",(quick_commerce_orders[[#This Row],[delivery_time]]-quick_commerce_orders[[#This Row],[order_time]])*1440)</f>
        <v>17.000000003026798</v>
      </c>
      <c r="G349" s="2">
        <v>423.74</v>
      </c>
      <c r="H349" s="2" t="str">
        <f>IF(quick_commerce_orders[[#This Row],[order_value]]&lt;500,"Low",IF(quick_commerce_orders[[#This Row],[order_value]]&gt;1500,"High","Moderate"))</f>
        <v>Low</v>
      </c>
      <c r="I3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49" s="2" t="s">
        <v>11</v>
      </c>
      <c r="K349" s="2" t="s">
        <v>16</v>
      </c>
    </row>
    <row r="350" spans="1:11" x14ac:dyDescent="0.2">
      <c r="A350" s="2" t="s">
        <v>716</v>
      </c>
      <c r="B350" s="2" t="s">
        <v>278</v>
      </c>
      <c r="C350" s="2" t="s">
        <v>27</v>
      </c>
      <c r="D350" s="3">
        <v>46168.109444444446</v>
      </c>
      <c r="E350" s="3"/>
      <c r="F350" s="9" t="str">
        <f>IF($K350="cancelled"," ",(quick_commerce_orders[[#This Row],[delivery_time]]-quick_commerce_orders[[#This Row],[order_time]])*1440)</f>
        <v xml:space="preserve"> </v>
      </c>
      <c r="G350" s="2">
        <v>1091.54</v>
      </c>
      <c r="H350" s="2" t="str">
        <f>IF(quick_commerce_orders[[#This Row],[order_value]]&lt;500,"Low",IF(quick_commerce_orders[[#This Row],[order_value]]&gt;1500,"High","Moderate"))</f>
        <v>Moderate</v>
      </c>
      <c r="I3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0" s="2" t="s">
        <v>39</v>
      </c>
      <c r="K350" s="2" t="s">
        <v>58</v>
      </c>
    </row>
    <row r="351" spans="1:11" x14ac:dyDescent="0.2">
      <c r="A351" s="2" t="s">
        <v>717</v>
      </c>
      <c r="B351" s="2" t="s">
        <v>718</v>
      </c>
      <c r="C351" s="2" t="s">
        <v>10</v>
      </c>
      <c r="D351" s="3">
        <v>46146.570925925924</v>
      </c>
      <c r="E351" s="3">
        <v>46146.579953703702</v>
      </c>
      <c r="F351" s="9">
        <f>IF($K351="cancelled"," ",(quick_commerce_orders[[#This Row],[delivery_time]]-quick_commerce_orders[[#This Row],[order_time]])*1440)</f>
        <v>13.000000000465661</v>
      </c>
      <c r="G351" s="2">
        <v>1181.1300000000001</v>
      </c>
      <c r="H351" s="2" t="str">
        <f>IF(quick_commerce_orders[[#This Row],[order_value]]&lt;500,"Low",IF(quick_commerce_orders[[#This Row],[order_value]]&gt;1500,"High","Moderate"))</f>
        <v>Moderate</v>
      </c>
      <c r="I3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1" s="2" t="s">
        <v>15</v>
      </c>
      <c r="K351" s="2" t="s">
        <v>16</v>
      </c>
    </row>
    <row r="352" spans="1:11" x14ac:dyDescent="0.2">
      <c r="A352" s="2" t="s">
        <v>719</v>
      </c>
      <c r="B352" s="2" t="s">
        <v>720</v>
      </c>
      <c r="C352" s="2" t="s">
        <v>19</v>
      </c>
      <c r="D352" s="3">
        <v>46158.386736111112</v>
      </c>
      <c r="E352" s="3">
        <v>46158.398541666669</v>
      </c>
      <c r="F352" s="9">
        <f>IF($K352="cancelled"," ",(quick_commerce_orders[[#This Row],[delivery_time]]-quick_commerce_orders[[#This Row],[order_time]])*1440)</f>
        <v>17.000000003026798</v>
      </c>
      <c r="G352" s="2">
        <v>528.30999999999995</v>
      </c>
      <c r="H352" s="2" t="str">
        <f>IF(quick_commerce_orders[[#This Row],[order_value]]&lt;500,"Low",IF(quick_commerce_orders[[#This Row],[order_value]]&gt;1500,"High","Moderate"))</f>
        <v>Moderate</v>
      </c>
      <c r="I3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52" s="2" t="s">
        <v>11</v>
      </c>
      <c r="K352" s="2" t="s">
        <v>16</v>
      </c>
    </row>
    <row r="353" spans="1:11" x14ac:dyDescent="0.2">
      <c r="A353" s="2" t="s">
        <v>721</v>
      </c>
      <c r="B353" s="2" t="s">
        <v>722</v>
      </c>
      <c r="C353" s="2" t="s">
        <v>27</v>
      </c>
      <c r="D353" s="3">
        <v>46163.531168981484</v>
      </c>
      <c r="E353" s="3">
        <v>46163.539502314816</v>
      </c>
      <c r="F353" s="9">
        <f>IF($K353="cancelled"," ",(quick_commerce_orders[[#This Row],[delivery_time]]-quick_commerce_orders[[#This Row],[order_time]])*1440)</f>
        <v>11.999999997206032</v>
      </c>
      <c r="G353" s="2">
        <v>1515.76</v>
      </c>
      <c r="H353" s="2" t="str">
        <f>IF(quick_commerce_orders[[#This Row],[order_value]]&lt;500,"Low",IF(quick_commerce_orders[[#This Row],[order_value]]&gt;1500,"High","Moderate"))</f>
        <v>High</v>
      </c>
      <c r="I3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3" s="2" t="s">
        <v>28</v>
      </c>
      <c r="K353" s="2" t="s">
        <v>16</v>
      </c>
    </row>
    <row r="354" spans="1:11" x14ac:dyDescent="0.2">
      <c r="A354" s="2" t="s">
        <v>723</v>
      </c>
      <c r="B354" s="2" t="s">
        <v>724</v>
      </c>
      <c r="C354" s="2" t="s">
        <v>27</v>
      </c>
      <c r="D354" s="3">
        <v>46163.436307870368</v>
      </c>
      <c r="E354" s="3">
        <v>46163.446030092593</v>
      </c>
      <c r="F354" s="9">
        <f>IF($K354="cancelled"," ",(quick_commerce_orders[[#This Row],[delivery_time]]-quick_commerce_orders[[#This Row],[order_time]])*1440)</f>
        <v>14.00000000372529</v>
      </c>
      <c r="G354" s="2">
        <v>1809.32</v>
      </c>
      <c r="H354" s="2" t="str">
        <f>IF(quick_commerce_orders[[#This Row],[order_value]]&lt;500,"Low",IF(quick_commerce_orders[[#This Row],[order_value]]&gt;1500,"High","Moderate"))</f>
        <v>High</v>
      </c>
      <c r="I3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54" s="2" t="s">
        <v>28</v>
      </c>
      <c r="K354" s="2" t="s">
        <v>16</v>
      </c>
    </row>
    <row r="355" spans="1:11" x14ac:dyDescent="0.2">
      <c r="A355" s="2" t="s">
        <v>725</v>
      </c>
      <c r="B355" s="2" t="s">
        <v>726</v>
      </c>
      <c r="C355" s="2" t="s">
        <v>10</v>
      </c>
      <c r="D355" s="3">
        <v>46157.09175925926</v>
      </c>
      <c r="E355" s="3"/>
      <c r="F355" s="9" t="str">
        <f>IF($K355="cancelled"," ",(quick_commerce_orders[[#This Row],[delivery_time]]-quick_commerce_orders[[#This Row],[order_time]])*1440)</f>
        <v xml:space="preserve"> </v>
      </c>
      <c r="G355" s="2">
        <v>583.64</v>
      </c>
      <c r="H355" s="2" t="str">
        <f>IF(quick_commerce_orders[[#This Row],[order_value]]&lt;500,"Low",IF(quick_commerce_orders[[#This Row],[order_value]]&gt;1500,"High","Moderate"))</f>
        <v>Moderate</v>
      </c>
      <c r="I3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5" s="2" t="s">
        <v>80</v>
      </c>
      <c r="K355" s="2" t="s">
        <v>58</v>
      </c>
    </row>
    <row r="356" spans="1:11" x14ac:dyDescent="0.2">
      <c r="A356" s="2" t="s">
        <v>727</v>
      </c>
      <c r="B356" s="2" t="s">
        <v>728</v>
      </c>
      <c r="C356" s="2" t="s">
        <v>75</v>
      </c>
      <c r="D356" s="3">
        <v>46149.170949074076</v>
      </c>
      <c r="E356" s="3">
        <v>46149.202893518515</v>
      </c>
      <c r="F356" s="9">
        <f>IF($K356="cancelled"," ",(quick_commerce_orders[[#This Row],[delivery_time]]-quick_commerce_orders[[#This Row],[order_time]])*1440)</f>
        <v>45.99999999278225</v>
      </c>
      <c r="G356" s="2">
        <v>1190.24</v>
      </c>
      <c r="H356" s="2" t="str">
        <f>IF(quick_commerce_orders[[#This Row],[order_value]]&lt;500,"Low",IF(quick_commerce_orders[[#This Row],[order_value]]&gt;1500,"High","Moderate"))</f>
        <v>Moderate</v>
      </c>
      <c r="I3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56" s="2" t="s">
        <v>28</v>
      </c>
      <c r="K356" s="2" t="s">
        <v>12</v>
      </c>
    </row>
    <row r="357" spans="1:11" x14ac:dyDescent="0.2">
      <c r="A357" s="2" t="s">
        <v>729</v>
      </c>
      <c r="B357" s="2" t="s">
        <v>730</v>
      </c>
      <c r="C357" s="2" t="s">
        <v>10</v>
      </c>
      <c r="D357" s="3">
        <v>46171.59752314815</v>
      </c>
      <c r="E357" s="3">
        <v>46171.604467592595</v>
      </c>
      <c r="F357" s="9">
        <f>IF($K357="cancelled"," ",(quick_commerce_orders[[#This Row],[delivery_time]]-quick_commerce_orders[[#This Row],[order_time]])*1440)</f>
        <v>10.000000001164153</v>
      </c>
      <c r="G357" s="2">
        <v>699.2</v>
      </c>
      <c r="H357" s="2" t="str">
        <f>IF(quick_commerce_orders[[#This Row],[order_value]]&lt;500,"Low",IF(quick_commerce_orders[[#This Row],[order_value]]&gt;1500,"High","Moderate"))</f>
        <v>Moderate</v>
      </c>
      <c r="I3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7" s="2" t="s">
        <v>15</v>
      </c>
      <c r="K357" s="2" t="s">
        <v>16</v>
      </c>
    </row>
    <row r="358" spans="1:11" x14ac:dyDescent="0.2">
      <c r="A358" s="2" t="s">
        <v>731</v>
      </c>
      <c r="B358" s="2" t="s">
        <v>732</v>
      </c>
      <c r="C358" s="2" t="s">
        <v>42</v>
      </c>
      <c r="D358" s="3">
        <v>46150.724178240744</v>
      </c>
      <c r="E358" s="3">
        <v>46150.730428240742</v>
      </c>
      <c r="F358" s="9">
        <f>IF($K358="cancelled"," ",(quick_commerce_orders[[#This Row],[delivery_time]]-quick_commerce_orders[[#This Row],[order_time]])*1440)</f>
        <v>8.9999999979045242</v>
      </c>
      <c r="G358" s="2">
        <v>1759.12</v>
      </c>
      <c r="H358" s="2" t="str">
        <f>IF(quick_commerce_orders[[#This Row],[order_value]]&lt;500,"Low",IF(quick_commerce_orders[[#This Row],[order_value]]&gt;1500,"High","Moderate"))</f>
        <v>High</v>
      </c>
      <c r="I3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8" s="2" t="s">
        <v>39</v>
      </c>
      <c r="K358" s="2" t="s">
        <v>16</v>
      </c>
    </row>
    <row r="359" spans="1:11" x14ac:dyDescent="0.2">
      <c r="A359" s="2" t="s">
        <v>733</v>
      </c>
      <c r="B359" s="2" t="s">
        <v>734</v>
      </c>
      <c r="C359" s="2" t="s">
        <v>75</v>
      </c>
      <c r="D359" s="3">
        <v>46156.596863425926</v>
      </c>
      <c r="E359" s="3">
        <v>46156.60728009259</v>
      </c>
      <c r="F359" s="9">
        <f>IF($K359="cancelled"," ",(quick_commerce_orders[[#This Row],[delivery_time]]-quick_commerce_orders[[#This Row],[order_time]])*1440)</f>
        <v>14.99999999650754</v>
      </c>
      <c r="G359" s="2">
        <v>2276.19</v>
      </c>
      <c r="H359" s="2" t="str">
        <f>IF(quick_commerce_orders[[#This Row],[order_value]]&lt;500,"Low",IF(quick_commerce_orders[[#This Row],[order_value]]&gt;1500,"High","Moderate"))</f>
        <v>High</v>
      </c>
      <c r="I3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59" s="2" t="s">
        <v>11</v>
      </c>
      <c r="K359" s="2" t="s">
        <v>16</v>
      </c>
    </row>
    <row r="360" spans="1:11" x14ac:dyDescent="0.2">
      <c r="A360" s="2" t="s">
        <v>735</v>
      </c>
      <c r="B360" s="2" t="s">
        <v>736</v>
      </c>
      <c r="C360" s="2" t="s">
        <v>75</v>
      </c>
      <c r="D360" s="3">
        <v>46159.128587962965</v>
      </c>
      <c r="E360" s="3">
        <v>46159.142476851855</v>
      </c>
      <c r="F360" s="9">
        <f>IF($K360="cancelled"," ",(quick_commerce_orders[[#This Row],[delivery_time]]-quick_commerce_orders[[#This Row],[order_time]])*1440)</f>
        <v>20.000000002328306</v>
      </c>
      <c r="G360" s="2">
        <v>2010.57</v>
      </c>
      <c r="H360" s="2" t="str">
        <f>IF(quick_commerce_orders[[#This Row],[order_value]]&lt;500,"Low",IF(quick_commerce_orders[[#This Row],[order_value]]&gt;1500,"High","Moderate"))</f>
        <v>High</v>
      </c>
      <c r="I3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60" s="2" t="s">
        <v>20</v>
      </c>
      <c r="K360" s="2" t="s">
        <v>16</v>
      </c>
    </row>
    <row r="361" spans="1:11" x14ac:dyDescent="0.2">
      <c r="A361" s="2" t="s">
        <v>737</v>
      </c>
      <c r="B361" s="2" t="s">
        <v>738</v>
      </c>
      <c r="C361" s="2" t="s">
        <v>31</v>
      </c>
      <c r="D361" s="3">
        <v>46162.947662037041</v>
      </c>
      <c r="E361" s="3">
        <v>46162.953217592592</v>
      </c>
      <c r="F361" s="9">
        <f>IF($K361="cancelled"," ",(quick_commerce_orders[[#This Row],[delivery_time]]-quick_commerce_orders[[#This Row],[order_time]])*1440)</f>
        <v>7.9999999946448952</v>
      </c>
      <c r="G361" s="2">
        <v>1823.1</v>
      </c>
      <c r="H361" s="2" t="str">
        <f>IF(quick_commerce_orders[[#This Row],[order_value]]&lt;500,"Low",IF(quick_commerce_orders[[#This Row],[order_value]]&gt;1500,"High","Moderate"))</f>
        <v>High</v>
      </c>
      <c r="I3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61" s="2" t="s">
        <v>11</v>
      </c>
      <c r="K361" s="2" t="s">
        <v>16</v>
      </c>
    </row>
    <row r="362" spans="1:11" x14ac:dyDescent="0.2">
      <c r="A362" s="2" t="s">
        <v>739</v>
      </c>
      <c r="B362" s="2" t="s">
        <v>740</v>
      </c>
      <c r="C362" s="2" t="s">
        <v>53</v>
      </c>
      <c r="D362" s="3">
        <v>46145.287430555552</v>
      </c>
      <c r="E362" s="3">
        <v>46145.297847222224</v>
      </c>
      <c r="F362" s="9">
        <f>IF($K362="cancelled"," ",(quick_commerce_orders[[#This Row],[delivery_time]]-quick_commerce_orders[[#This Row],[order_time]])*1440)</f>
        <v>15.000000006984919</v>
      </c>
      <c r="G362" s="2">
        <v>395.51</v>
      </c>
      <c r="H362" s="2" t="str">
        <f>IF(quick_commerce_orders[[#This Row],[order_value]]&lt;500,"Low",IF(quick_commerce_orders[[#This Row],[order_value]]&gt;1500,"High","Moderate"))</f>
        <v>Low</v>
      </c>
      <c r="I3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62" s="2" t="s">
        <v>15</v>
      </c>
      <c r="K362" s="2" t="s">
        <v>16</v>
      </c>
    </row>
    <row r="363" spans="1:11" x14ac:dyDescent="0.2">
      <c r="A363" s="2" t="s">
        <v>741</v>
      </c>
      <c r="B363" s="2" t="s">
        <v>742</v>
      </c>
      <c r="C363" s="2" t="s">
        <v>27</v>
      </c>
      <c r="D363" s="3">
        <v>46163.170659722222</v>
      </c>
      <c r="E363" s="3">
        <v>46163.178298611114</v>
      </c>
      <c r="F363" s="9">
        <f>IF($K363="cancelled"," ",(quick_commerce_orders[[#This Row],[delivery_time]]-quick_commerce_orders[[#This Row],[order_time]])*1440)</f>
        <v>11.000000004423782</v>
      </c>
      <c r="G363" s="2">
        <v>373</v>
      </c>
      <c r="H363" s="2" t="str">
        <f>IF(quick_commerce_orders[[#This Row],[order_value]]&lt;500,"Low",IF(quick_commerce_orders[[#This Row],[order_value]]&gt;1500,"High","Moderate"))</f>
        <v>Low</v>
      </c>
      <c r="I3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63" s="2" t="s">
        <v>11</v>
      </c>
      <c r="K363" s="2" t="s">
        <v>16</v>
      </c>
    </row>
    <row r="364" spans="1:11" x14ac:dyDescent="0.2">
      <c r="A364" s="2" t="s">
        <v>743</v>
      </c>
      <c r="B364" s="2" t="s">
        <v>744</v>
      </c>
      <c r="C364" s="2" t="s">
        <v>34</v>
      </c>
      <c r="D364" s="3">
        <v>46158.476064814815</v>
      </c>
      <c r="E364" s="3">
        <v>46158.493425925924</v>
      </c>
      <c r="F364" s="9">
        <f>IF($K364="cancelled"," ",(quick_commerce_orders[[#This Row],[delivery_time]]-quick_commerce_orders[[#This Row],[order_time]])*1440)</f>
        <v>24.999999997671694</v>
      </c>
      <c r="G364" s="2">
        <v>1177.56</v>
      </c>
      <c r="H364" s="2" t="str">
        <f>IF(quick_commerce_orders[[#This Row],[order_value]]&lt;500,"Low",IF(quick_commerce_orders[[#This Row],[order_value]]&gt;1500,"High","Moderate"))</f>
        <v>Moderate</v>
      </c>
      <c r="I3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64" s="2" t="s">
        <v>28</v>
      </c>
      <c r="K364" s="2" t="s">
        <v>12</v>
      </c>
    </row>
    <row r="365" spans="1:11" x14ac:dyDescent="0.2">
      <c r="A365" s="2" t="s">
        <v>745</v>
      </c>
      <c r="B365" s="2" t="s">
        <v>746</v>
      </c>
      <c r="C365" s="2" t="s">
        <v>19</v>
      </c>
      <c r="D365" s="3">
        <v>46146.888379629629</v>
      </c>
      <c r="E365" s="3">
        <v>46146.915462962963</v>
      </c>
      <c r="F365" s="9">
        <f>IF($K365="cancelled"," ",(quick_commerce_orders[[#This Row],[delivery_time]]-quick_commerce_orders[[#This Row],[order_time]])*1440)</f>
        <v>39.000000001396984</v>
      </c>
      <c r="G365" s="2">
        <v>970.06</v>
      </c>
      <c r="H365" s="2" t="str">
        <f>IF(quick_commerce_orders[[#This Row],[order_value]]&lt;500,"Low",IF(quick_commerce_orders[[#This Row],[order_value]]&gt;1500,"High","Moderate"))</f>
        <v>Moderate</v>
      </c>
      <c r="I3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65" s="2" t="s">
        <v>11</v>
      </c>
      <c r="K365" s="2" t="s">
        <v>12</v>
      </c>
    </row>
    <row r="366" spans="1:11" x14ac:dyDescent="0.2">
      <c r="A366" s="2" t="s">
        <v>747</v>
      </c>
      <c r="B366" s="2" t="s">
        <v>748</v>
      </c>
      <c r="C366" s="2" t="s">
        <v>42</v>
      </c>
      <c r="D366" s="3">
        <v>46154.01798611111</v>
      </c>
      <c r="E366" s="3">
        <v>46154.031180555554</v>
      </c>
      <c r="F366" s="9">
        <f>IF($K366="cancelled"," ",(quick_commerce_orders[[#This Row],[delivery_time]]-quick_commerce_orders[[#This Row],[order_time]])*1440)</f>
        <v>18.999999999068677</v>
      </c>
      <c r="G366" s="2">
        <v>1356.16</v>
      </c>
      <c r="H366" s="2" t="str">
        <f>IF(quick_commerce_orders[[#This Row],[order_value]]&lt;500,"Low",IF(quick_commerce_orders[[#This Row],[order_value]]&gt;1500,"High","Moderate"))</f>
        <v>Moderate</v>
      </c>
      <c r="I3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66" s="2" t="s">
        <v>28</v>
      </c>
      <c r="K366" s="2" t="s">
        <v>16</v>
      </c>
    </row>
    <row r="367" spans="1:11" x14ac:dyDescent="0.2">
      <c r="A367" s="2" t="s">
        <v>749</v>
      </c>
      <c r="B367" s="2" t="s">
        <v>750</v>
      </c>
      <c r="C367" s="2" t="s">
        <v>42</v>
      </c>
      <c r="D367" s="3">
        <v>46171.741377314815</v>
      </c>
      <c r="E367" s="3"/>
      <c r="F367" s="9" t="str">
        <f>IF($K367="cancelled"," ",(quick_commerce_orders[[#This Row],[delivery_time]]-quick_commerce_orders[[#This Row],[order_time]])*1440)</f>
        <v xml:space="preserve"> </v>
      </c>
      <c r="G367" s="2">
        <v>1020.81</v>
      </c>
      <c r="H367" s="2" t="str">
        <f>IF(quick_commerce_orders[[#This Row],[order_value]]&lt;500,"Low",IF(quick_commerce_orders[[#This Row],[order_value]]&gt;1500,"High","Moderate"))</f>
        <v>Moderate</v>
      </c>
      <c r="I3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67" s="2" t="s">
        <v>80</v>
      </c>
      <c r="K367" s="2" t="s">
        <v>58</v>
      </c>
    </row>
    <row r="368" spans="1:11" x14ac:dyDescent="0.2">
      <c r="A368" s="2" t="s">
        <v>751</v>
      </c>
      <c r="B368" s="2" t="s">
        <v>752</v>
      </c>
      <c r="C368" s="2" t="s">
        <v>19</v>
      </c>
      <c r="D368" s="3">
        <v>46158.145208333335</v>
      </c>
      <c r="E368" s="3">
        <v>46158.15284722222</v>
      </c>
      <c r="F368" s="9">
        <f>IF($K368="cancelled"," ",(quick_commerce_orders[[#This Row],[delivery_time]]-quick_commerce_orders[[#This Row],[order_time]])*1440)</f>
        <v>10.999999993946403</v>
      </c>
      <c r="G368" s="2">
        <v>1997.56</v>
      </c>
      <c r="H368" s="2" t="str">
        <f>IF(quick_commerce_orders[[#This Row],[order_value]]&lt;500,"Low",IF(quick_commerce_orders[[#This Row],[order_value]]&gt;1500,"High","Moderate"))</f>
        <v>High</v>
      </c>
      <c r="I3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68" s="2" t="s">
        <v>80</v>
      </c>
      <c r="K368" s="2" t="s">
        <v>16</v>
      </c>
    </row>
    <row r="369" spans="1:11" x14ac:dyDescent="0.2">
      <c r="A369" s="2" t="s">
        <v>753</v>
      </c>
      <c r="B369" s="2" t="s">
        <v>754</v>
      </c>
      <c r="C369" s="2" t="s">
        <v>10</v>
      </c>
      <c r="D369" s="3">
        <v>46151.125034722223</v>
      </c>
      <c r="E369" s="3">
        <v>46151.162534722222</v>
      </c>
      <c r="F369" s="9">
        <f>IF($K369="cancelled"," ",(quick_commerce_orders[[#This Row],[delivery_time]]-quick_commerce_orders[[#This Row],[order_time]])*1440)</f>
        <v>53.999999997904524</v>
      </c>
      <c r="G369" s="2">
        <v>1327</v>
      </c>
      <c r="H369" s="2" t="str">
        <f>IF(quick_commerce_orders[[#This Row],[order_value]]&lt;500,"Low",IF(quick_commerce_orders[[#This Row],[order_value]]&gt;1500,"High","Moderate"))</f>
        <v>Moderate</v>
      </c>
      <c r="I3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69" s="2" t="s">
        <v>80</v>
      </c>
      <c r="K369" s="2" t="s">
        <v>12</v>
      </c>
    </row>
    <row r="370" spans="1:11" x14ac:dyDescent="0.2">
      <c r="A370" s="2" t="s">
        <v>755</v>
      </c>
      <c r="B370" s="2" t="s">
        <v>756</v>
      </c>
      <c r="C370" s="2" t="s">
        <v>31</v>
      </c>
      <c r="D370" s="3">
        <v>46157.17560185185</v>
      </c>
      <c r="E370" s="3">
        <v>46157.187407407408</v>
      </c>
      <c r="F370" s="9">
        <f>IF($K370="cancelled"," ",(quick_commerce_orders[[#This Row],[delivery_time]]-quick_commerce_orders[[#This Row],[order_time]])*1440)</f>
        <v>17.000000003026798</v>
      </c>
      <c r="G370" s="2">
        <v>2378.41</v>
      </c>
      <c r="H370" s="2" t="str">
        <f>IF(quick_commerce_orders[[#This Row],[order_value]]&lt;500,"Low",IF(quick_commerce_orders[[#This Row],[order_value]]&gt;1500,"High","Moderate"))</f>
        <v>High</v>
      </c>
      <c r="I3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70" s="2" t="s">
        <v>15</v>
      </c>
      <c r="K370" s="2" t="s">
        <v>16</v>
      </c>
    </row>
    <row r="371" spans="1:11" x14ac:dyDescent="0.2">
      <c r="A371" s="2" t="s">
        <v>757</v>
      </c>
      <c r="B371" s="2" t="s">
        <v>758</v>
      </c>
      <c r="C371" s="2" t="s">
        <v>53</v>
      </c>
      <c r="D371" s="3">
        <v>46168.488657407404</v>
      </c>
      <c r="E371" s="3">
        <v>46168.496296296296</v>
      </c>
      <c r="F371" s="9">
        <f>IF($K371="cancelled"," ",(quick_commerce_orders[[#This Row],[delivery_time]]-quick_commerce_orders[[#This Row],[order_time]])*1440)</f>
        <v>11.000000004423782</v>
      </c>
      <c r="G371" s="2">
        <v>1007.83</v>
      </c>
      <c r="H371" s="2" t="str">
        <f>IF(quick_commerce_orders[[#This Row],[order_value]]&lt;500,"Low",IF(quick_commerce_orders[[#This Row],[order_value]]&gt;1500,"High","Moderate"))</f>
        <v>Moderate</v>
      </c>
      <c r="I3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71" s="2" t="s">
        <v>11</v>
      </c>
      <c r="K371" s="2" t="s">
        <v>16</v>
      </c>
    </row>
    <row r="372" spans="1:11" x14ac:dyDescent="0.2">
      <c r="A372" s="2" t="s">
        <v>759</v>
      </c>
      <c r="B372" s="2" t="s">
        <v>760</v>
      </c>
      <c r="C372" s="2" t="s">
        <v>19</v>
      </c>
      <c r="D372" s="3">
        <v>46148.775879629633</v>
      </c>
      <c r="E372" s="3">
        <v>46148.783518518518</v>
      </c>
      <c r="F372" s="9">
        <f>IF($K372="cancelled"," ",(quick_commerce_orders[[#This Row],[delivery_time]]-quick_commerce_orders[[#This Row],[order_time]])*1440)</f>
        <v>10.999999993946403</v>
      </c>
      <c r="G372" s="2">
        <v>1012.46</v>
      </c>
      <c r="H372" s="2" t="str">
        <f>IF(quick_commerce_orders[[#This Row],[order_value]]&lt;500,"Low",IF(quick_commerce_orders[[#This Row],[order_value]]&gt;1500,"High","Moderate"))</f>
        <v>Moderate</v>
      </c>
      <c r="I3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72" s="2" t="s">
        <v>20</v>
      </c>
      <c r="K372" s="2" t="s">
        <v>16</v>
      </c>
    </row>
    <row r="373" spans="1:11" x14ac:dyDescent="0.2">
      <c r="A373" s="2" t="s">
        <v>761</v>
      </c>
      <c r="B373" s="2" t="s">
        <v>762</v>
      </c>
      <c r="C373" s="2" t="s">
        <v>27</v>
      </c>
      <c r="D373" s="3">
        <v>46147.002916666665</v>
      </c>
      <c r="E373" s="3">
        <v>46147.013333333336</v>
      </c>
      <c r="F373" s="9">
        <f>IF($K373="cancelled"," ",(quick_commerce_orders[[#This Row],[delivery_time]]-quick_commerce_orders[[#This Row],[order_time]])*1440)</f>
        <v>15.000000006984919</v>
      </c>
      <c r="G373" s="2">
        <v>1942.82</v>
      </c>
      <c r="H373" s="2" t="str">
        <f>IF(quick_commerce_orders[[#This Row],[order_value]]&lt;500,"Low",IF(quick_commerce_orders[[#This Row],[order_value]]&gt;1500,"High","Moderate"))</f>
        <v>High</v>
      </c>
      <c r="I3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73" s="2" t="s">
        <v>80</v>
      </c>
      <c r="K373" s="2" t="s">
        <v>16</v>
      </c>
    </row>
    <row r="374" spans="1:11" x14ac:dyDescent="0.2">
      <c r="A374" s="2" t="s">
        <v>763</v>
      </c>
      <c r="B374" s="2" t="s">
        <v>764</v>
      </c>
      <c r="C374" s="2" t="s">
        <v>19</v>
      </c>
      <c r="D374" s="3">
        <v>46171.170798611114</v>
      </c>
      <c r="E374" s="3">
        <v>46171.202743055554</v>
      </c>
      <c r="F374" s="9">
        <f>IF($K374="cancelled"," ",(quick_commerce_orders[[#This Row],[delivery_time]]-quick_commerce_orders[[#This Row],[order_time]])*1440)</f>
        <v>45.99999999278225</v>
      </c>
      <c r="G374" s="2">
        <v>2288.41</v>
      </c>
      <c r="H374" s="2" t="str">
        <f>IF(quick_commerce_orders[[#This Row],[order_value]]&lt;500,"Low",IF(quick_commerce_orders[[#This Row],[order_value]]&gt;1500,"High","Moderate"))</f>
        <v>High</v>
      </c>
      <c r="I3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74" s="2" t="s">
        <v>39</v>
      </c>
      <c r="K374" s="2" t="s">
        <v>12</v>
      </c>
    </row>
    <row r="375" spans="1:11" x14ac:dyDescent="0.2">
      <c r="A375" s="2" t="s">
        <v>765</v>
      </c>
      <c r="B375" s="2" t="s">
        <v>766</v>
      </c>
      <c r="C375" s="2" t="s">
        <v>27</v>
      </c>
      <c r="D375" s="3">
        <v>46164.12672453704</v>
      </c>
      <c r="E375" s="3">
        <v>46164.140613425923</v>
      </c>
      <c r="F375" s="9">
        <f>IF($K375="cancelled"," ",(quick_commerce_orders[[#This Row],[delivery_time]]-quick_commerce_orders[[#This Row],[order_time]])*1440)</f>
        <v>19.999999991850927</v>
      </c>
      <c r="G375" s="2">
        <v>1456.18</v>
      </c>
      <c r="H375" s="2" t="str">
        <f>IF(quick_commerce_orders[[#This Row],[order_value]]&lt;500,"Low",IF(quick_commerce_orders[[#This Row],[order_value]]&gt;1500,"High","Moderate"))</f>
        <v>Moderate</v>
      </c>
      <c r="I3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75" s="2" t="s">
        <v>39</v>
      </c>
      <c r="K375" s="2" t="s">
        <v>16</v>
      </c>
    </row>
    <row r="376" spans="1:11" x14ac:dyDescent="0.2">
      <c r="A376" s="2" t="s">
        <v>767</v>
      </c>
      <c r="B376" s="2" t="s">
        <v>768</v>
      </c>
      <c r="C376" s="2" t="s">
        <v>34</v>
      </c>
      <c r="D376" s="3">
        <v>46146.249722222223</v>
      </c>
      <c r="E376" s="3"/>
      <c r="F376" s="9" t="str">
        <f>IF($K376="cancelled"," ",(quick_commerce_orders[[#This Row],[delivery_time]]-quick_commerce_orders[[#This Row],[order_time]])*1440)</f>
        <v xml:space="preserve"> </v>
      </c>
      <c r="G376" s="2">
        <v>1681.87</v>
      </c>
      <c r="H376" s="2" t="str">
        <f>IF(quick_commerce_orders[[#This Row],[order_value]]&lt;500,"Low",IF(quick_commerce_orders[[#This Row],[order_value]]&gt;1500,"High","Moderate"))</f>
        <v>High</v>
      </c>
      <c r="I3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76" s="2" t="s">
        <v>80</v>
      </c>
      <c r="K376" s="2" t="s">
        <v>58</v>
      </c>
    </row>
    <row r="377" spans="1:11" x14ac:dyDescent="0.2">
      <c r="A377" s="2" t="s">
        <v>769</v>
      </c>
      <c r="B377" s="2" t="s">
        <v>770</v>
      </c>
      <c r="C377" s="2" t="s">
        <v>53</v>
      </c>
      <c r="D377" s="3">
        <v>46170.976053240738</v>
      </c>
      <c r="E377" s="3">
        <v>46170.989247685182</v>
      </c>
      <c r="F377" s="9">
        <f>IF($K377="cancelled"," ",(quick_commerce_orders[[#This Row],[delivery_time]]-quick_commerce_orders[[#This Row],[order_time]])*1440)</f>
        <v>18.999999999068677</v>
      </c>
      <c r="G377" s="2">
        <v>459.22</v>
      </c>
      <c r="H377" s="2" t="str">
        <f>IF(quick_commerce_orders[[#This Row],[order_value]]&lt;500,"Low",IF(quick_commerce_orders[[#This Row],[order_value]]&gt;1500,"High","Moderate"))</f>
        <v>Low</v>
      </c>
      <c r="I3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77" s="2" t="s">
        <v>80</v>
      </c>
      <c r="K377" s="2" t="s">
        <v>16</v>
      </c>
    </row>
    <row r="378" spans="1:11" x14ac:dyDescent="0.2">
      <c r="A378" s="2" t="s">
        <v>771</v>
      </c>
      <c r="B378" s="2" t="s">
        <v>772</v>
      </c>
      <c r="C378" s="2" t="s">
        <v>31</v>
      </c>
      <c r="D378" s="3">
        <v>46144.530173611114</v>
      </c>
      <c r="E378" s="3">
        <v>46144.539895833332</v>
      </c>
      <c r="F378" s="9">
        <f>IF($K378="cancelled"," ",(quick_commerce_orders[[#This Row],[delivery_time]]-quick_commerce_orders[[#This Row],[order_time]])*1440)</f>
        <v>13.999999993247911</v>
      </c>
      <c r="G378" s="2">
        <v>2184.16</v>
      </c>
      <c r="H378" s="2" t="str">
        <f>IF(quick_commerce_orders[[#This Row],[order_value]]&lt;500,"Low",IF(quick_commerce_orders[[#This Row],[order_value]]&gt;1500,"High","Moderate"))</f>
        <v>High</v>
      </c>
      <c r="I3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78" s="2" t="s">
        <v>20</v>
      </c>
      <c r="K378" s="2" t="s">
        <v>16</v>
      </c>
    </row>
    <row r="379" spans="1:11" x14ac:dyDescent="0.2">
      <c r="A379" s="2" t="s">
        <v>773</v>
      </c>
      <c r="B379" s="2" t="s">
        <v>774</v>
      </c>
      <c r="C379" s="2" t="s">
        <v>19</v>
      </c>
      <c r="D379" s="3">
        <v>46154.468032407407</v>
      </c>
      <c r="E379" s="3">
        <v>46154.494421296295</v>
      </c>
      <c r="F379" s="9">
        <f>IF($K379="cancelled"," ",(quick_commerce_orders[[#This Row],[delivery_time]]-quick_commerce_orders[[#This Row],[order_time]])*1440)</f>
        <v>37.999999998137355</v>
      </c>
      <c r="G379" s="2">
        <v>528.28</v>
      </c>
      <c r="H379" s="2" t="str">
        <f>IF(quick_commerce_orders[[#This Row],[order_value]]&lt;500,"Low",IF(quick_commerce_orders[[#This Row],[order_value]]&gt;1500,"High","Moderate"))</f>
        <v>Moderate</v>
      </c>
      <c r="I3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79" s="2" t="s">
        <v>20</v>
      </c>
      <c r="K379" s="2" t="s">
        <v>12</v>
      </c>
    </row>
    <row r="380" spans="1:11" x14ac:dyDescent="0.2">
      <c r="A380" s="2" t="s">
        <v>775</v>
      </c>
      <c r="B380" s="2" t="s">
        <v>776</v>
      </c>
      <c r="C380" s="2" t="s">
        <v>19</v>
      </c>
      <c r="D380" s="3">
        <v>46154.345462962963</v>
      </c>
      <c r="E380" s="3">
        <v>46154.355185185188</v>
      </c>
      <c r="F380" s="9">
        <f>IF($K380="cancelled"," ",(quick_commerce_orders[[#This Row],[delivery_time]]-quick_commerce_orders[[#This Row],[order_time]])*1440)</f>
        <v>14.00000000372529</v>
      </c>
      <c r="G380" s="2">
        <v>1807.91</v>
      </c>
      <c r="H380" s="2" t="str">
        <f>IF(quick_commerce_orders[[#This Row],[order_value]]&lt;500,"Low",IF(quick_commerce_orders[[#This Row],[order_value]]&gt;1500,"High","Moderate"))</f>
        <v>High</v>
      </c>
      <c r="I3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80" s="2" t="s">
        <v>15</v>
      </c>
      <c r="K380" s="2" t="s">
        <v>16</v>
      </c>
    </row>
    <row r="381" spans="1:11" x14ac:dyDescent="0.2">
      <c r="A381" s="2" t="s">
        <v>777</v>
      </c>
      <c r="B381" s="2" t="s">
        <v>778</v>
      </c>
      <c r="C381" s="2" t="s">
        <v>19</v>
      </c>
      <c r="D381" s="3">
        <v>46152.069201388891</v>
      </c>
      <c r="E381" s="3">
        <v>46152.076145833336</v>
      </c>
      <c r="F381" s="9">
        <f>IF($K381="cancelled"," ",(quick_commerce_orders[[#This Row],[delivery_time]]-quick_commerce_orders[[#This Row],[order_time]])*1440)</f>
        <v>10.000000001164153</v>
      </c>
      <c r="G381" s="2">
        <v>1106</v>
      </c>
      <c r="H381" s="2" t="str">
        <f>IF(quick_commerce_orders[[#This Row],[order_value]]&lt;500,"Low",IF(quick_commerce_orders[[#This Row],[order_value]]&gt;1500,"High","Moderate"))</f>
        <v>Moderate</v>
      </c>
      <c r="I3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381" s="2" t="s">
        <v>15</v>
      </c>
      <c r="K381" s="2" t="s">
        <v>16</v>
      </c>
    </row>
    <row r="382" spans="1:11" x14ac:dyDescent="0.2">
      <c r="A382" s="2" t="s">
        <v>779</v>
      </c>
      <c r="B382" s="2" t="s">
        <v>780</v>
      </c>
      <c r="C382" s="2" t="s">
        <v>75</v>
      </c>
      <c r="D382" s="3">
        <v>46158.846192129633</v>
      </c>
      <c r="E382" s="3">
        <v>46158.851747685185</v>
      </c>
      <c r="F382" s="9">
        <f>IF($K382="cancelled"," ",(quick_commerce_orders[[#This Row],[delivery_time]]-quick_commerce_orders[[#This Row],[order_time]])*1440)</f>
        <v>7.9999999946448952</v>
      </c>
      <c r="G382" s="2">
        <v>841.84</v>
      </c>
      <c r="H382" s="2" t="str">
        <f>IF(quick_commerce_orders[[#This Row],[order_value]]&lt;500,"Low",IF(quick_commerce_orders[[#This Row],[order_value]]&gt;1500,"High","Moderate"))</f>
        <v>Moderate</v>
      </c>
      <c r="I3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82" s="2" t="s">
        <v>39</v>
      </c>
      <c r="K382" s="2" t="s">
        <v>16</v>
      </c>
    </row>
    <row r="383" spans="1:11" x14ac:dyDescent="0.2">
      <c r="A383" s="2" t="s">
        <v>781</v>
      </c>
      <c r="B383" s="2" t="s">
        <v>782</v>
      </c>
      <c r="C383" s="2" t="s">
        <v>53</v>
      </c>
      <c r="D383" s="3">
        <v>46169.729201388887</v>
      </c>
      <c r="E383" s="3">
        <v>46169.738229166665</v>
      </c>
      <c r="F383" s="9">
        <f>IF($K383="cancelled"," ",(quick_commerce_orders[[#This Row],[delivery_time]]-quick_commerce_orders[[#This Row],[order_time]])*1440)</f>
        <v>13.000000000465661</v>
      </c>
      <c r="G383" s="2">
        <v>1943.71</v>
      </c>
      <c r="H383" s="2" t="str">
        <f>IF(quick_commerce_orders[[#This Row],[order_value]]&lt;500,"Low",IF(quick_commerce_orders[[#This Row],[order_value]]&gt;1500,"High","Moderate"))</f>
        <v>High</v>
      </c>
      <c r="I3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83" s="2" t="s">
        <v>20</v>
      </c>
      <c r="K383" s="2" t="s">
        <v>16</v>
      </c>
    </row>
    <row r="384" spans="1:11" x14ac:dyDescent="0.2">
      <c r="A384" s="2" t="s">
        <v>783</v>
      </c>
      <c r="B384" s="2" t="s">
        <v>784</v>
      </c>
      <c r="C384" s="2" t="s">
        <v>19</v>
      </c>
      <c r="D384" s="3">
        <v>46148.350092592591</v>
      </c>
      <c r="E384" s="3">
        <v>46148.35564814815</v>
      </c>
      <c r="F384" s="9">
        <f>IF($K384="cancelled"," ",(quick_commerce_orders[[#This Row],[delivery_time]]-quick_commerce_orders[[#This Row],[order_time]])*1440)</f>
        <v>8.0000000051222742</v>
      </c>
      <c r="G384" s="2">
        <v>1170.02</v>
      </c>
      <c r="H384" s="2" t="str">
        <f>IF(quick_commerce_orders[[#This Row],[order_value]]&lt;500,"Low",IF(quick_commerce_orders[[#This Row],[order_value]]&gt;1500,"High","Moderate"))</f>
        <v>Moderate</v>
      </c>
      <c r="I3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84" s="2" t="s">
        <v>11</v>
      </c>
      <c r="K384" s="2" t="s">
        <v>16</v>
      </c>
    </row>
    <row r="385" spans="1:11" x14ac:dyDescent="0.2">
      <c r="A385" s="2" t="s">
        <v>785</v>
      </c>
      <c r="B385" s="2" t="s">
        <v>786</v>
      </c>
      <c r="C385" s="2" t="s">
        <v>27</v>
      </c>
      <c r="D385" s="3">
        <v>46169.279120370367</v>
      </c>
      <c r="E385" s="3">
        <v>46169.285370370373</v>
      </c>
      <c r="F385" s="9">
        <f>IF($K385="cancelled"," ",(quick_commerce_orders[[#This Row],[delivery_time]]-quick_commerce_orders[[#This Row],[order_time]])*1440)</f>
        <v>9.0000000083819032</v>
      </c>
      <c r="G385" s="2">
        <v>1602.49</v>
      </c>
      <c r="H385" s="2" t="str">
        <f>IF(quick_commerce_orders[[#This Row],[order_value]]&lt;500,"Low",IF(quick_commerce_orders[[#This Row],[order_value]]&gt;1500,"High","Moderate"))</f>
        <v>High</v>
      </c>
      <c r="I3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85" s="2" t="s">
        <v>15</v>
      </c>
      <c r="K385" s="2" t="s">
        <v>16</v>
      </c>
    </row>
    <row r="386" spans="1:11" x14ac:dyDescent="0.2">
      <c r="A386" s="2" t="s">
        <v>787</v>
      </c>
      <c r="B386" s="2" t="s">
        <v>788</v>
      </c>
      <c r="C386" s="2" t="s">
        <v>31</v>
      </c>
      <c r="D386" s="3">
        <v>46158.869143518517</v>
      </c>
      <c r="E386" s="3">
        <v>46158.878171296295</v>
      </c>
      <c r="F386" s="9">
        <f>IF($K386="cancelled"," ",(quick_commerce_orders[[#This Row],[delivery_time]]-quick_commerce_orders[[#This Row],[order_time]])*1440)</f>
        <v>13.000000000465661</v>
      </c>
      <c r="G386" s="2">
        <v>381.13</v>
      </c>
      <c r="H386" s="2" t="str">
        <f>IF(quick_commerce_orders[[#This Row],[order_value]]&lt;500,"Low",IF(quick_commerce_orders[[#This Row],[order_value]]&gt;1500,"High","Moderate"))</f>
        <v>Low</v>
      </c>
      <c r="I3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86" s="2" t="s">
        <v>11</v>
      </c>
      <c r="K386" s="2" t="s">
        <v>16</v>
      </c>
    </row>
    <row r="387" spans="1:11" x14ac:dyDescent="0.2">
      <c r="A387" s="2" t="s">
        <v>789</v>
      </c>
      <c r="B387" s="2" t="s">
        <v>790</v>
      </c>
      <c r="C387" s="2" t="s">
        <v>42</v>
      </c>
      <c r="D387" s="3">
        <v>46144.535243055558</v>
      </c>
      <c r="E387" s="3">
        <v>46144.540798611109</v>
      </c>
      <c r="F387" s="9">
        <f>IF($K387="cancelled"," ",(quick_commerce_orders[[#This Row],[delivery_time]]-quick_commerce_orders[[#This Row],[order_time]])*1440)</f>
        <v>7.9999999946448952</v>
      </c>
      <c r="G387" s="2">
        <v>414.77</v>
      </c>
      <c r="H387" s="2" t="str">
        <f>IF(quick_commerce_orders[[#This Row],[order_value]]&lt;500,"Low",IF(quick_commerce_orders[[#This Row],[order_value]]&gt;1500,"High","Moderate"))</f>
        <v>Low</v>
      </c>
      <c r="I3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87" s="2" t="s">
        <v>15</v>
      </c>
      <c r="K387" s="2" t="s">
        <v>16</v>
      </c>
    </row>
    <row r="388" spans="1:11" x14ac:dyDescent="0.2">
      <c r="A388" s="2" t="s">
        <v>791</v>
      </c>
      <c r="B388" s="2" t="s">
        <v>792</v>
      </c>
      <c r="C388" s="2" t="s">
        <v>34</v>
      </c>
      <c r="D388" s="3">
        <v>46165.649189814816</v>
      </c>
      <c r="E388" s="3">
        <v>46165.660300925927</v>
      </c>
      <c r="F388" s="9">
        <f>IF($K388="cancelled"," ",(quick_commerce_orders[[#This Row],[delivery_time]]-quick_commerce_orders[[#This Row],[order_time]])*1440)</f>
        <v>15.999999999767169</v>
      </c>
      <c r="G388" s="2">
        <v>585.84</v>
      </c>
      <c r="H388" s="2" t="str">
        <f>IF(quick_commerce_orders[[#This Row],[order_value]]&lt;500,"Low",IF(quick_commerce_orders[[#This Row],[order_value]]&gt;1500,"High","Moderate"))</f>
        <v>Moderate</v>
      </c>
      <c r="I3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88" s="2" t="s">
        <v>80</v>
      </c>
      <c r="K388" s="2" t="s">
        <v>16</v>
      </c>
    </row>
    <row r="389" spans="1:11" x14ac:dyDescent="0.2">
      <c r="A389" s="2" t="s">
        <v>793</v>
      </c>
      <c r="B389" s="2" t="s">
        <v>794</v>
      </c>
      <c r="C389" s="2" t="s">
        <v>31</v>
      </c>
      <c r="D389" s="3">
        <v>46174.499027777776</v>
      </c>
      <c r="E389" s="3"/>
      <c r="F389" s="9" t="str">
        <f>IF($K389="cancelled"," ",(quick_commerce_orders[[#This Row],[delivery_time]]-quick_commerce_orders[[#This Row],[order_time]])*1440)</f>
        <v xml:space="preserve"> </v>
      </c>
      <c r="G389" s="2">
        <v>1593.14</v>
      </c>
      <c r="H389" s="2" t="str">
        <f>IF(quick_commerce_orders[[#This Row],[order_value]]&lt;500,"Low",IF(quick_commerce_orders[[#This Row],[order_value]]&gt;1500,"High","Moderate"))</f>
        <v>High</v>
      </c>
      <c r="I3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89" s="2" t="s">
        <v>20</v>
      </c>
      <c r="K389" s="2" t="s">
        <v>58</v>
      </c>
    </row>
    <row r="390" spans="1:11" x14ac:dyDescent="0.2">
      <c r="A390" s="2" t="s">
        <v>795</v>
      </c>
      <c r="B390" s="2" t="s">
        <v>796</v>
      </c>
      <c r="C390" s="2" t="s">
        <v>53</v>
      </c>
      <c r="D390" s="3">
        <v>46163.511932870373</v>
      </c>
      <c r="E390" s="3"/>
      <c r="F390" s="9" t="str">
        <f>IF($K390="cancelled"," ",(quick_commerce_orders[[#This Row],[delivery_time]]-quick_commerce_orders[[#This Row],[order_time]])*1440)</f>
        <v xml:space="preserve"> </v>
      </c>
      <c r="G390" s="2">
        <v>706.47</v>
      </c>
      <c r="H390" s="2" t="str">
        <f>IF(quick_commerce_orders[[#This Row],[order_value]]&lt;500,"Low",IF(quick_commerce_orders[[#This Row],[order_value]]&gt;1500,"High","Moderate"))</f>
        <v>Moderate</v>
      </c>
      <c r="I3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90" s="2" t="s">
        <v>15</v>
      </c>
      <c r="K390" s="2" t="s">
        <v>58</v>
      </c>
    </row>
    <row r="391" spans="1:11" x14ac:dyDescent="0.2">
      <c r="A391" s="2" t="s">
        <v>797</v>
      </c>
      <c r="B391" s="2" t="s">
        <v>798</v>
      </c>
      <c r="C391" s="2" t="s">
        <v>19</v>
      </c>
      <c r="D391" s="3">
        <v>46144.44321759259</v>
      </c>
      <c r="E391" s="3">
        <v>46144.449467592596</v>
      </c>
      <c r="F391" s="9">
        <f>IF($K391="cancelled"," ",(quick_commerce_orders[[#This Row],[delivery_time]]-quick_commerce_orders[[#This Row],[order_time]])*1440)</f>
        <v>9.0000000083819032</v>
      </c>
      <c r="G391" s="2">
        <v>1199.74</v>
      </c>
      <c r="H391" s="2" t="str">
        <f>IF(quick_commerce_orders[[#This Row],[order_value]]&lt;500,"Low",IF(quick_commerce_orders[[#This Row],[order_value]]&gt;1500,"High","Moderate"))</f>
        <v>Moderate</v>
      </c>
      <c r="I3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91" s="2" t="s">
        <v>80</v>
      </c>
      <c r="K391" s="2" t="s">
        <v>16</v>
      </c>
    </row>
    <row r="392" spans="1:11" x14ac:dyDescent="0.2">
      <c r="A392" s="2" t="s">
        <v>799</v>
      </c>
      <c r="B392" s="2" t="s">
        <v>800</v>
      </c>
      <c r="C392" s="2" t="s">
        <v>53</v>
      </c>
      <c r="D392" s="3">
        <v>46144.336006944446</v>
      </c>
      <c r="E392" s="3">
        <v>46144.342951388891</v>
      </c>
      <c r="F392" s="9">
        <f>IF($K392="cancelled"," ",(quick_commerce_orders[[#This Row],[delivery_time]]-quick_commerce_orders[[#This Row],[order_time]])*1440)</f>
        <v>10.000000001164153</v>
      </c>
      <c r="G392" s="2">
        <v>2151.9899999999998</v>
      </c>
      <c r="H392" s="2" t="str">
        <f>IF(quick_commerce_orders[[#This Row],[order_value]]&lt;500,"Low",IF(quick_commerce_orders[[#This Row],[order_value]]&gt;1500,"High","Moderate"))</f>
        <v>High</v>
      </c>
      <c r="I3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92" s="2" t="s">
        <v>11</v>
      </c>
      <c r="K392" s="2" t="s">
        <v>16</v>
      </c>
    </row>
    <row r="393" spans="1:11" x14ac:dyDescent="0.2">
      <c r="A393" s="2" t="s">
        <v>801</v>
      </c>
      <c r="B393" s="2" t="s">
        <v>802</v>
      </c>
      <c r="C393" s="2" t="s">
        <v>10</v>
      </c>
      <c r="D393" s="3">
        <v>46173.682511574072</v>
      </c>
      <c r="E393" s="3">
        <v>46173.690844907411</v>
      </c>
      <c r="F393" s="9">
        <f>IF($K393="cancelled"," ",(quick_commerce_orders[[#This Row],[delivery_time]]-quick_commerce_orders[[#This Row],[order_time]])*1440)</f>
        <v>12.000000007683411</v>
      </c>
      <c r="G393" s="2">
        <v>1403.4</v>
      </c>
      <c r="H393" s="2" t="str">
        <f>IF(quick_commerce_orders[[#This Row],[order_value]]&lt;500,"Low",IF(quick_commerce_orders[[#This Row],[order_value]]&gt;1500,"High","Moderate"))</f>
        <v>Moderate</v>
      </c>
      <c r="I3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93" s="2" t="s">
        <v>11</v>
      </c>
      <c r="K393" s="2" t="s">
        <v>16</v>
      </c>
    </row>
    <row r="394" spans="1:11" x14ac:dyDescent="0.2">
      <c r="A394" s="2" t="s">
        <v>803</v>
      </c>
      <c r="B394" s="2" t="s">
        <v>804</v>
      </c>
      <c r="C394" s="2" t="s">
        <v>19</v>
      </c>
      <c r="D394" s="3">
        <v>46157.212673611109</v>
      </c>
      <c r="E394" s="3">
        <v>46157.223090277781</v>
      </c>
      <c r="F394" s="9">
        <f>IF($K394="cancelled"," ",(quick_commerce_orders[[#This Row],[delivery_time]]-quick_commerce_orders[[#This Row],[order_time]])*1440)</f>
        <v>15.000000006984919</v>
      </c>
      <c r="G394" s="2">
        <v>112.8</v>
      </c>
      <c r="H394" s="2" t="str">
        <f>IF(quick_commerce_orders[[#This Row],[order_value]]&lt;500,"Low",IF(quick_commerce_orders[[#This Row],[order_value]]&gt;1500,"High","Moderate"))</f>
        <v>Low</v>
      </c>
      <c r="I3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94" s="2" t="s">
        <v>39</v>
      </c>
      <c r="K394" s="2" t="s">
        <v>16</v>
      </c>
    </row>
    <row r="395" spans="1:11" x14ac:dyDescent="0.2">
      <c r="A395" s="2" t="s">
        <v>805</v>
      </c>
      <c r="B395" s="2" t="s">
        <v>806</v>
      </c>
      <c r="C395" s="2" t="s">
        <v>19</v>
      </c>
      <c r="D395" s="3">
        <v>46158.357546296298</v>
      </c>
      <c r="E395" s="3">
        <v>46158.365185185183</v>
      </c>
      <c r="F395" s="9">
        <f>IF($K395="cancelled"," ",(quick_commerce_orders[[#This Row],[delivery_time]]-quick_commerce_orders[[#This Row],[order_time]])*1440)</f>
        <v>10.999999993946403</v>
      </c>
      <c r="G395" s="2">
        <v>2217.4899999999998</v>
      </c>
      <c r="H395" s="2" t="str">
        <f>IF(quick_commerce_orders[[#This Row],[order_value]]&lt;500,"Low",IF(quick_commerce_orders[[#This Row],[order_value]]&gt;1500,"High","Moderate"))</f>
        <v>High</v>
      </c>
      <c r="I3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95" s="2" t="s">
        <v>28</v>
      </c>
      <c r="K395" s="2" t="s">
        <v>16</v>
      </c>
    </row>
    <row r="396" spans="1:11" x14ac:dyDescent="0.2">
      <c r="A396" s="2" t="s">
        <v>807</v>
      </c>
      <c r="B396" s="2" t="s">
        <v>808</v>
      </c>
      <c r="C396" s="2" t="s">
        <v>53</v>
      </c>
      <c r="D396" s="3">
        <v>46146.317291666666</v>
      </c>
      <c r="E396" s="3">
        <v>46146.350624999999</v>
      </c>
      <c r="F396" s="9">
        <f>IF($K396="cancelled"," ",(quick_commerce_orders[[#This Row],[delivery_time]]-quick_commerce_orders[[#This Row],[order_time]])*1440)</f>
        <v>47.999999999301508</v>
      </c>
      <c r="G396" s="2">
        <v>669.91</v>
      </c>
      <c r="H396" s="2" t="str">
        <f>IF(quick_commerce_orders[[#This Row],[order_value]]&lt;500,"Low",IF(quick_commerce_orders[[#This Row],[order_value]]&gt;1500,"High","Moderate"))</f>
        <v>Moderate</v>
      </c>
      <c r="I3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96" s="2" t="s">
        <v>20</v>
      </c>
      <c r="K396" s="2" t="s">
        <v>12</v>
      </c>
    </row>
    <row r="397" spans="1:11" x14ac:dyDescent="0.2">
      <c r="A397" s="2" t="s">
        <v>809</v>
      </c>
      <c r="B397" s="2" t="s">
        <v>810</v>
      </c>
      <c r="C397" s="2" t="s">
        <v>19</v>
      </c>
      <c r="D397" s="3">
        <v>46167.499918981484</v>
      </c>
      <c r="E397" s="3">
        <v>46167.51866898148</v>
      </c>
      <c r="F397" s="9">
        <f>IF($K397="cancelled"," ",(quick_commerce_orders[[#This Row],[delivery_time]]-quick_commerce_orders[[#This Row],[order_time]])*1440)</f>
        <v>26.999999993713573</v>
      </c>
      <c r="G397" s="2">
        <v>1512.27</v>
      </c>
      <c r="H397" s="2" t="str">
        <f>IF(quick_commerce_orders[[#This Row],[order_value]]&lt;500,"Low",IF(quick_commerce_orders[[#This Row],[order_value]]&gt;1500,"High","Moderate"))</f>
        <v>High</v>
      </c>
      <c r="I3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97" s="2" t="s">
        <v>39</v>
      </c>
      <c r="K397" s="2" t="s">
        <v>12</v>
      </c>
    </row>
    <row r="398" spans="1:11" x14ac:dyDescent="0.2">
      <c r="A398" s="2" t="s">
        <v>811</v>
      </c>
      <c r="B398" s="2" t="s">
        <v>812</v>
      </c>
      <c r="C398" s="2" t="s">
        <v>75</v>
      </c>
      <c r="D398" s="3">
        <v>46154.219178240739</v>
      </c>
      <c r="E398" s="3">
        <v>46154.224733796298</v>
      </c>
      <c r="F398" s="9">
        <f>IF($K398="cancelled"," ",(quick_commerce_orders[[#This Row],[delivery_time]]-quick_commerce_orders[[#This Row],[order_time]])*1440)</f>
        <v>8.0000000051222742</v>
      </c>
      <c r="G398" s="2">
        <v>1240.71</v>
      </c>
      <c r="H398" s="2" t="str">
        <f>IF(quick_commerce_orders[[#This Row],[order_value]]&lt;500,"Low",IF(quick_commerce_orders[[#This Row],[order_value]]&gt;1500,"High","Moderate"))</f>
        <v>Moderate</v>
      </c>
      <c r="I3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398" s="2" t="s">
        <v>39</v>
      </c>
      <c r="K398" s="2" t="s">
        <v>16</v>
      </c>
    </row>
    <row r="399" spans="1:11" x14ac:dyDescent="0.2">
      <c r="A399" s="2" t="s">
        <v>813</v>
      </c>
      <c r="B399" s="2" t="s">
        <v>814</v>
      </c>
      <c r="C399" s="2" t="s">
        <v>31</v>
      </c>
      <c r="D399" s="3">
        <v>46163.98914351852</v>
      </c>
      <c r="E399" s="3">
        <v>46163.996782407405</v>
      </c>
      <c r="F399" s="9">
        <f>IF($K399="cancelled"," ",(quick_commerce_orders[[#This Row],[delivery_time]]-quick_commerce_orders[[#This Row],[order_time]])*1440)</f>
        <v>10.999999993946403</v>
      </c>
      <c r="G399" s="2">
        <v>1083.3599999999999</v>
      </c>
      <c r="H399" s="2" t="str">
        <f>IF(quick_commerce_orders[[#This Row],[order_value]]&lt;500,"Low",IF(quick_commerce_orders[[#This Row],[order_value]]&gt;1500,"High","Moderate"))</f>
        <v>Moderate</v>
      </c>
      <c r="I3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399" s="2" t="s">
        <v>20</v>
      </c>
      <c r="K399" s="2" t="s">
        <v>16</v>
      </c>
    </row>
    <row r="400" spans="1:11" x14ac:dyDescent="0.2">
      <c r="A400" s="2" t="s">
        <v>815</v>
      </c>
      <c r="B400" s="2" t="s">
        <v>816</v>
      </c>
      <c r="C400" s="2" t="s">
        <v>10</v>
      </c>
      <c r="D400" s="3">
        <v>46144.947476851848</v>
      </c>
      <c r="E400" s="3">
        <v>46144.973171296297</v>
      </c>
      <c r="F400" s="9">
        <f>IF($K400="cancelled"," ",(quick_commerce_orders[[#This Row],[delivery_time]]-quick_commerce_orders[[#This Row],[order_time]])*1440)</f>
        <v>37.000000005355105</v>
      </c>
      <c r="G400" s="2">
        <v>289.57</v>
      </c>
      <c r="H400" s="2" t="str">
        <f>IF(quick_commerce_orders[[#This Row],[order_value]]&lt;500,"Low",IF(quick_commerce_orders[[#This Row],[order_value]]&gt;1500,"High","Moderate"))</f>
        <v>Low</v>
      </c>
      <c r="I4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0" s="2" t="s">
        <v>28</v>
      </c>
      <c r="K400" s="2" t="s">
        <v>12</v>
      </c>
    </row>
    <row r="401" spans="1:11" x14ac:dyDescent="0.2">
      <c r="A401" s="2" t="s">
        <v>817</v>
      </c>
      <c r="B401" s="2" t="s">
        <v>818</v>
      </c>
      <c r="C401" s="2" t="s">
        <v>31</v>
      </c>
      <c r="D401" s="3">
        <v>46152.758946759262</v>
      </c>
      <c r="E401" s="3">
        <v>46152.767280092594</v>
      </c>
      <c r="F401" s="9">
        <f>IF($K401="cancelled"," ",(quick_commerce_orders[[#This Row],[delivery_time]]-quick_commerce_orders[[#This Row],[order_time]])*1440)</f>
        <v>11.999999997206032</v>
      </c>
      <c r="G401" s="2">
        <v>1539.25</v>
      </c>
      <c r="H401" s="2" t="str">
        <f>IF(quick_commerce_orders[[#This Row],[order_value]]&lt;500,"Low",IF(quick_commerce_orders[[#This Row],[order_value]]&gt;1500,"High","Moderate"))</f>
        <v>High</v>
      </c>
      <c r="I4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1" s="2" t="s">
        <v>80</v>
      </c>
      <c r="K401" s="2" t="s">
        <v>16</v>
      </c>
    </row>
    <row r="402" spans="1:11" x14ac:dyDescent="0.2">
      <c r="A402" s="2" t="s">
        <v>819</v>
      </c>
      <c r="B402" s="2" t="s">
        <v>820</v>
      </c>
      <c r="C402" s="2" t="s">
        <v>42</v>
      </c>
      <c r="D402" s="3">
        <v>46174.721655092595</v>
      </c>
      <c r="E402" s="3">
        <v>46174.72859953704</v>
      </c>
      <c r="F402" s="9">
        <f>IF($K402="cancelled"," ",(quick_commerce_orders[[#This Row],[delivery_time]]-quick_commerce_orders[[#This Row],[order_time]])*1440)</f>
        <v>10.000000001164153</v>
      </c>
      <c r="G402" s="2">
        <v>686.31</v>
      </c>
      <c r="H402" s="2" t="str">
        <f>IF(quick_commerce_orders[[#This Row],[order_value]]&lt;500,"Low",IF(quick_commerce_orders[[#This Row],[order_value]]&gt;1500,"High","Moderate"))</f>
        <v>Moderate</v>
      </c>
      <c r="I4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2" s="2" t="s">
        <v>39</v>
      </c>
      <c r="K402" s="2" t="s">
        <v>16</v>
      </c>
    </row>
    <row r="403" spans="1:11" x14ac:dyDescent="0.2">
      <c r="A403" s="2" t="s">
        <v>821</v>
      </c>
      <c r="B403" s="2" t="s">
        <v>822</v>
      </c>
      <c r="C403" s="2" t="s">
        <v>53</v>
      </c>
      <c r="D403" s="3">
        <v>46174.045173611114</v>
      </c>
      <c r="E403" s="3">
        <v>46174.052812499998</v>
      </c>
      <c r="F403" s="9">
        <f>IF($K403="cancelled"," ",(quick_commerce_orders[[#This Row],[delivery_time]]-quick_commerce_orders[[#This Row],[order_time]])*1440)</f>
        <v>10.999999993946403</v>
      </c>
      <c r="G403" s="2">
        <v>1412.62</v>
      </c>
      <c r="H403" s="2" t="str">
        <f>IF(quick_commerce_orders[[#This Row],[order_value]]&lt;500,"Low",IF(quick_commerce_orders[[#This Row],[order_value]]&gt;1500,"High","Moderate"))</f>
        <v>Moderate</v>
      </c>
      <c r="I4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03" s="2" t="s">
        <v>39</v>
      </c>
      <c r="K403" s="2" t="s">
        <v>16</v>
      </c>
    </row>
    <row r="404" spans="1:11" x14ac:dyDescent="0.2">
      <c r="A404" s="2" t="s">
        <v>823</v>
      </c>
      <c r="B404" s="2" t="s">
        <v>824</v>
      </c>
      <c r="C404" s="2" t="s">
        <v>53</v>
      </c>
      <c r="D404" s="3">
        <v>46157.801400462966</v>
      </c>
      <c r="E404" s="3">
        <v>46157.809733796297</v>
      </c>
      <c r="F404" s="9">
        <f>IF($K404="cancelled"," ",(quick_commerce_orders[[#This Row],[delivery_time]]-quick_commerce_orders[[#This Row],[order_time]])*1440)</f>
        <v>11.999999997206032</v>
      </c>
      <c r="G404" s="2">
        <v>1586.44</v>
      </c>
      <c r="H404" s="2" t="str">
        <f>IF(quick_commerce_orders[[#This Row],[order_value]]&lt;500,"Low",IF(quick_commerce_orders[[#This Row],[order_value]]&gt;1500,"High","Moderate"))</f>
        <v>High</v>
      </c>
      <c r="I4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4" s="2" t="s">
        <v>28</v>
      </c>
      <c r="K404" s="2" t="s">
        <v>16</v>
      </c>
    </row>
    <row r="405" spans="1:11" x14ac:dyDescent="0.2">
      <c r="A405" s="2" t="s">
        <v>825</v>
      </c>
      <c r="B405" s="2" t="s">
        <v>826</v>
      </c>
      <c r="C405" s="2" t="s">
        <v>10</v>
      </c>
      <c r="D405" s="3">
        <v>46173.01525462963</v>
      </c>
      <c r="E405" s="3">
        <v>46173.040254629632</v>
      </c>
      <c r="F405" s="9">
        <f>IF($K405="cancelled"," ",(quick_commerce_orders[[#This Row],[delivery_time]]-quick_commerce_orders[[#This Row],[order_time]])*1440)</f>
        <v>36.000000002095476</v>
      </c>
      <c r="G405" s="2">
        <v>1437.12</v>
      </c>
      <c r="H405" s="2" t="str">
        <f>IF(quick_commerce_orders[[#This Row],[order_value]]&lt;500,"Low",IF(quick_commerce_orders[[#This Row],[order_value]]&gt;1500,"High","Moderate"))</f>
        <v>Moderate</v>
      </c>
      <c r="I4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5" s="2" t="s">
        <v>80</v>
      </c>
      <c r="K405" s="2" t="s">
        <v>12</v>
      </c>
    </row>
    <row r="406" spans="1:11" x14ac:dyDescent="0.2">
      <c r="A406" s="2" t="s">
        <v>827</v>
      </c>
      <c r="B406" s="2" t="s">
        <v>828</v>
      </c>
      <c r="C406" s="2" t="s">
        <v>31</v>
      </c>
      <c r="D406" s="3">
        <v>46155.181770833333</v>
      </c>
      <c r="E406" s="3">
        <v>46155.190798611111</v>
      </c>
      <c r="F406" s="9">
        <f>IF($K406="cancelled"," ",(quick_commerce_orders[[#This Row],[delivery_time]]-quick_commerce_orders[[#This Row],[order_time]])*1440)</f>
        <v>13.000000000465661</v>
      </c>
      <c r="G406" s="2">
        <v>2079.61</v>
      </c>
      <c r="H406" s="2" t="str">
        <f>IF(quick_commerce_orders[[#This Row],[order_value]]&lt;500,"Low",IF(quick_commerce_orders[[#This Row],[order_value]]&gt;1500,"High","Moderate"))</f>
        <v>High</v>
      </c>
      <c r="I4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06" s="2" t="s">
        <v>39</v>
      </c>
      <c r="K406" s="2" t="s">
        <v>16</v>
      </c>
    </row>
    <row r="407" spans="1:11" x14ac:dyDescent="0.2">
      <c r="A407" s="2" t="s">
        <v>829</v>
      </c>
      <c r="B407" s="2" t="s">
        <v>830</v>
      </c>
      <c r="C407" s="2" t="s">
        <v>31</v>
      </c>
      <c r="D407" s="3">
        <v>46154.418761574074</v>
      </c>
      <c r="E407" s="3">
        <v>46154.429872685185</v>
      </c>
      <c r="F407" s="9">
        <f>IF($K407="cancelled"," ",(quick_commerce_orders[[#This Row],[delivery_time]]-quick_commerce_orders[[#This Row],[order_time]])*1440)</f>
        <v>15.999999999767169</v>
      </c>
      <c r="G407" s="2">
        <v>216.41</v>
      </c>
      <c r="H407" s="2" t="str">
        <f>IF(quick_commerce_orders[[#This Row],[order_value]]&lt;500,"Low",IF(quick_commerce_orders[[#This Row],[order_value]]&gt;1500,"High","Moderate"))</f>
        <v>Low</v>
      </c>
      <c r="I4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07" s="2" t="s">
        <v>11</v>
      </c>
      <c r="K407" s="2" t="s">
        <v>16</v>
      </c>
    </row>
    <row r="408" spans="1:11" x14ac:dyDescent="0.2">
      <c r="A408" s="2" t="s">
        <v>831</v>
      </c>
      <c r="B408" s="2" t="s">
        <v>832</v>
      </c>
      <c r="C408" s="2" t="s">
        <v>42</v>
      </c>
      <c r="D408" s="3">
        <v>46152.781921296293</v>
      </c>
      <c r="E408" s="3"/>
      <c r="F408" s="9" t="str">
        <f>IF($K408="cancelled"," ",(quick_commerce_orders[[#This Row],[delivery_time]]-quick_commerce_orders[[#This Row],[order_time]])*1440)</f>
        <v xml:space="preserve"> </v>
      </c>
      <c r="G408" s="2">
        <v>454.81</v>
      </c>
      <c r="H408" s="2" t="str">
        <f>IF(quick_commerce_orders[[#This Row],[order_value]]&lt;500,"Low",IF(quick_commerce_orders[[#This Row],[order_value]]&gt;1500,"High","Moderate"))</f>
        <v>Low</v>
      </c>
      <c r="I4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08" s="2" t="s">
        <v>28</v>
      </c>
      <c r="K408" s="2" t="s">
        <v>58</v>
      </c>
    </row>
    <row r="409" spans="1:11" x14ac:dyDescent="0.2">
      <c r="A409" s="2" t="s">
        <v>833</v>
      </c>
      <c r="B409" s="2" t="s">
        <v>834</v>
      </c>
      <c r="C409" s="2" t="s">
        <v>10</v>
      </c>
      <c r="D409" s="3">
        <v>46152.162881944445</v>
      </c>
      <c r="E409" s="3">
        <v>46152.170520833337</v>
      </c>
      <c r="F409" s="9">
        <f>IF($K409="cancelled"," ",(quick_commerce_orders[[#This Row],[delivery_time]]-quick_commerce_orders[[#This Row],[order_time]])*1440)</f>
        <v>11.000000004423782</v>
      </c>
      <c r="G409" s="2">
        <v>1666.86</v>
      </c>
      <c r="H409" s="2" t="str">
        <f>IF(quick_commerce_orders[[#This Row],[order_value]]&lt;500,"Low",IF(quick_commerce_orders[[#This Row],[order_value]]&gt;1500,"High","Moderate"))</f>
        <v>High</v>
      </c>
      <c r="I4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09" s="2" t="s">
        <v>20</v>
      </c>
      <c r="K409" s="2" t="s">
        <v>16</v>
      </c>
    </row>
    <row r="410" spans="1:11" x14ac:dyDescent="0.2">
      <c r="A410" s="2" t="s">
        <v>835</v>
      </c>
      <c r="B410" s="2" t="s">
        <v>836</v>
      </c>
      <c r="C410" s="2" t="s">
        <v>53</v>
      </c>
      <c r="D410" s="3">
        <v>46166.099826388891</v>
      </c>
      <c r="E410" s="3">
        <v>46166.106770833336</v>
      </c>
      <c r="F410" s="9">
        <f>IF($K410="cancelled"," ",(quick_commerce_orders[[#This Row],[delivery_time]]-quick_commerce_orders[[#This Row],[order_time]])*1440)</f>
        <v>10.000000001164153</v>
      </c>
      <c r="G410" s="2">
        <v>187.13</v>
      </c>
      <c r="H410" s="2" t="str">
        <f>IF(quick_commerce_orders[[#This Row],[order_value]]&lt;500,"Low",IF(quick_commerce_orders[[#This Row],[order_value]]&gt;1500,"High","Moderate"))</f>
        <v>Low</v>
      </c>
      <c r="I4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10" s="2" t="s">
        <v>28</v>
      </c>
      <c r="K410" s="2" t="s">
        <v>16</v>
      </c>
    </row>
    <row r="411" spans="1:11" x14ac:dyDescent="0.2">
      <c r="A411" s="2" t="s">
        <v>837</v>
      </c>
      <c r="B411" s="2" t="s">
        <v>838</v>
      </c>
      <c r="C411" s="2" t="s">
        <v>42</v>
      </c>
      <c r="D411" s="3">
        <v>46168.75440972222</v>
      </c>
      <c r="E411" s="3">
        <v>46168.762048611112</v>
      </c>
      <c r="F411" s="9">
        <f>IF($K411="cancelled"," ",(quick_commerce_orders[[#This Row],[delivery_time]]-quick_commerce_orders[[#This Row],[order_time]])*1440)</f>
        <v>11.000000004423782</v>
      </c>
      <c r="G411" s="2">
        <v>2148.19</v>
      </c>
      <c r="H411" s="2" t="str">
        <f>IF(quick_commerce_orders[[#This Row],[order_value]]&lt;500,"Low",IF(quick_commerce_orders[[#This Row],[order_value]]&gt;1500,"High","Moderate"))</f>
        <v>High</v>
      </c>
      <c r="I4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11" s="2" t="s">
        <v>28</v>
      </c>
      <c r="K411" s="2" t="s">
        <v>16</v>
      </c>
    </row>
    <row r="412" spans="1:11" x14ac:dyDescent="0.2">
      <c r="A412" s="2" t="s">
        <v>839</v>
      </c>
      <c r="B412" s="2" t="s">
        <v>840</v>
      </c>
      <c r="C412" s="2" t="s">
        <v>75</v>
      </c>
      <c r="D412" s="3">
        <v>46162.422337962962</v>
      </c>
      <c r="E412" s="3">
        <v>46162.427893518521</v>
      </c>
      <c r="F412" s="9">
        <f>IF($K412="cancelled"," ",(quick_commerce_orders[[#This Row],[delivery_time]]-quick_commerce_orders[[#This Row],[order_time]])*1440)</f>
        <v>8.0000000051222742</v>
      </c>
      <c r="G412" s="2">
        <v>1699.79</v>
      </c>
      <c r="H412" s="2" t="str">
        <f>IF(quick_commerce_orders[[#This Row],[order_value]]&lt;500,"Low",IF(quick_commerce_orders[[#This Row],[order_value]]&gt;1500,"High","Moderate"))</f>
        <v>High</v>
      </c>
      <c r="I4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12" s="2" t="s">
        <v>15</v>
      </c>
      <c r="K412" s="2" t="s">
        <v>16</v>
      </c>
    </row>
    <row r="413" spans="1:11" x14ac:dyDescent="0.2">
      <c r="A413" s="2" t="s">
        <v>841</v>
      </c>
      <c r="B413" s="2" t="s">
        <v>842</v>
      </c>
      <c r="C413" s="2" t="s">
        <v>10</v>
      </c>
      <c r="D413" s="3">
        <v>46170.85533564815</v>
      </c>
      <c r="E413" s="3">
        <v>46170.862280092595</v>
      </c>
      <c r="F413" s="9">
        <f>IF($K413="cancelled"," ",(quick_commerce_orders[[#This Row],[delivery_time]]-quick_commerce_orders[[#This Row],[order_time]])*1440)</f>
        <v>10.000000001164153</v>
      </c>
      <c r="G413" s="2">
        <v>2110.23</v>
      </c>
      <c r="H413" s="2" t="str">
        <f>IF(quick_commerce_orders[[#This Row],[order_value]]&lt;500,"Low",IF(quick_commerce_orders[[#This Row],[order_value]]&gt;1500,"High","Moderate"))</f>
        <v>High</v>
      </c>
      <c r="I4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13" s="2" t="s">
        <v>11</v>
      </c>
      <c r="K413" s="2" t="s">
        <v>16</v>
      </c>
    </row>
    <row r="414" spans="1:11" x14ac:dyDescent="0.2">
      <c r="A414" s="2" t="s">
        <v>843</v>
      </c>
      <c r="B414" s="2" t="s">
        <v>844</v>
      </c>
      <c r="C414" s="2" t="s">
        <v>42</v>
      </c>
      <c r="D414" s="3">
        <v>46163.239988425928</v>
      </c>
      <c r="E414" s="3">
        <v>46163.24832175926</v>
      </c>
      <c r="F414" s="9">
        <f>IF($K414="cancelled"," ",(quick_commerce_orders[[#This Row],[delivery_time]]-quick_commerce_orders[[#This Row],[order_time]])*1440)</f>
        <v>11.999999997206032</v>
      </c>
      <c r="G414" s="2">
        <v>815.26</v>
      </c>
      <c r="H414" s="2" t="str">
        <f>IF(quick_commerce_orders[[#This Row],[order_value]]&lt;500,"Low",IF(quick_commerce_orders[[#This Row],[order_value]]&gt;1500,"High","Moderate"))</f>
        <v>Moderate</v>
      </c>
      <c r="I4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14" s="2" t="s">
        <v>39</v>
      </c>
      <c r="K414" s="2" t="s">
        <v>16</v>
      </c>
    </row>
    <row r="415" spans="1:11" x14ac:dyDescent="0.2">
      <c r="A415" s="2" t="s">
        <v>845</v>
      </c>
      <c r="B415" s="2" t="s">
        <v>846</v>
      </c>
      <c r="C415" s="2" t="s">
        <v>42</v>
      </c>
      <c r="D415" s="3">
        <v>46165.321261574078</v>
      </c>
      <c r="E415" s="3">
        <v>46165.342789351853</v>
      </c>
      <c r="F415" s="9">
        <f>IF($K415="cancelled"," ",(quick_commerce_orders[[#This Row],[delivery_time]]-quick_commerce_orders[[#This Row],[order_time]])*1440)</f>
        <v>30.99999999627471</v>
      </c>
      <c r="G415" s="2">
        <v>2307.92</v>
      </c>
      <c r="H415" s="2" t="str">
        <f>IF(quick_commerce_orders[[#This Row],[order_value]]&lt;500,"Low",IF(quick_commerce_orders[[#This Row],[order_value]]&gt;1500,"High","Moderate"))</f>
        <v>High</v>
      </c>
      <c r="I4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15" s="2" t="s">
        <v>80</v>
      </c>
      <c r="K415" s="2" t="s">
        <v>12</v>
      </c>
    </row>
    <row r="416" spans="1:11" x14ac:dyDescent="0.2">
      <c r="A416" s="2" t="s">
        <v>847</v>
      </c>
      <c r="B416" s="2" t="s">
        <v>848</v>
      </c>
      <c r="C416" s="2" t="s">
        <v>53</v>
      </c>
      <c r="D416" s="3">
        <v>46154.513726851852</v>
      </c>
      <c r="E416" s="3">
        <v>46154.519282407404</v>
      </c>
      <c r="F416" s="9">
        <f>IF($K416="cancelled"," ",(quick_commerce_orders[[#This Row],[delivery_time]]-quick_commerce_orders[[#This Row],[order_time]])*1440)</f>
        <v>7.9999999946448952</v>
      </c>
      <c r="G416" s="2">
        <v>216.68</v>
      </c>
      <c r="H416" s="2" t="str">
        <f>IF(quick_commerce_orders[[#This Row],[order_value]]&lt;500,"Low",IF(quick_commerce_orders[[#This Row],[order_value]]&gt;1500,"High","Moderate"))</f>
        <v>Low</v>
      </c>
      <c r="I4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16" s="2" t="s">
        <v>20</v>
      </c>
      <c r="K416" s="2" t="s">
        <v>16</v>
      </c>
    </row>
    <row r="417" spans="1:11" x14ac:dyDescent="0.2">
      <c r="A417" s="2" t="s">
        <v>849</v>
      </c>
      <c r="B417" s="2" t="s">
        <v>850</v>
      </c>
      <c r="C417" s="2" t="s">
        <v>42</v>
      </c>
      <c r="D417" s="3">
        <v>46161.174837962964</v>
      </c>
      <c r="E417" s="3">
        <v>46161.187337962961</v>
      </c>
      <c r="F417" s="9">
        <f>IF($K417="cancelled"," ",(quick_commerce_orders[[#This Row],[delivery_time]]-quick_commerce_orders[[#This Row],[order_time]])*1440)</f>
        <v>17.999999995809048</v>
      </c>
      <c r="G417" s="2">
        <v>1099.7</v>
      </c>
      <c r="H417" s="2" t="str">
        <f>IF(quick_commerce_orders[[#This Row],[order_value]]&lt;500,"Low",IF(quick_commerce_orders[[#This Row],[order_value]]&gt;1500,"High","Moderate"))</f>
        <v>Moderate</v>
      </c>
      <c r="I4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17" s="2" t="s">
        <v>11</v>
      </c>
      <c r="K417" s="2" t="s">
        <v>16</v>
      </c>
    </row>
    <row r="418" spans="1:11" x14ac:dyDescent="0.2">
      <c r="A418" s="2" t="s">
        <v>851</v>
      </c>
      <c r="B418" s="2" t="s">
        <v>852</v>
      </c>
      <c r="C418" s="2" t="s">
        <v>34</v>
      </c>
      <c r="D418" s="3">
        <v>46143.94195601852</v>
      </c>
      <c r="E418" s="3">
        <v>46143.948900462965</v>
      </c>
      <c r="F418" s="9">
        <f>IF($K418="cancelled"," ",(quick_commerce_orders[[#This Row],[delivery_time]]-quick_commerce_orders[[#This Row],[order_time]])*1440)</f>
        <v>10.000000001164153</v>
      </c>
      <c r="G418" s="2">
        <v>526.79999999999995</v>
      </c>
      <c r="H418" s="2" t="str">
        <f>IF(quick_commerce_orders[[#This Row],[order_value]]&lt;500,"Low",IF(quick_commerce_orders[[#This Row],[order_value]]&gt;1500,"High","Moderate"))</f>
        <v>Moderate</v>
      </c>
      <c r="I4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18" s="2" t="s">
        <v>15</v>
      </c>
      <c r="K418" s="2" t="s">
        <v>16</v>
      </c>
    </row>
    <row r="419" spans="1:11" x14ac:dyDescent="0.2">
      <c r="A419" s="2" t="s">
        <v>853</v>
      </c>
      <c r="B419" s="2" t="s">
        <v>854</v>
      </c>
      <c r="C419" s="2" t="s">
        <v>34</v>
      </c>
      <c r="D419" s="3">
        <v>46145.234953703701</v>
      </c>
      <c r="E419" s="3">
        <v>46145.244675925926</v>
      </c>
      <c r="F419" s="9">
        <f>IF($K419="cancelled"," ",(quick_commerce_orders[[#This Row],[delivery_time]]-quick_commerce_orders[[#This Row],[order_time]])*1440)</f>
        <v>14.00000000372529</v>
      </c>
      <c r="G419" s="2">
        <v>1712.02</v>
      </c>
      <c r="H419" s="2" t="str">
        <f>IF(quick_commerce_orders[[#This Row],[order_value]]&lt;500,"Low",IF(quick_commerce_orders[[#This Row],[order_value]]&gt;1500,"High","Moderate"))</f>
        <v>High</v>
      </c>
      <c r="I4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19" s="2" t="s">
        <v>28</v>
      </c>
      <c r="K419" s="2" t="s">
        <v>16</v>
      </c>
    </row>
    <row r="420" spans="1:11" x14ac:dyDescent="0.2">
      <c r="A420" s="2" t="s">
        <v>855</v>
      </c>
      <c r="B420" s="2" t="s">
        <v>856</v>
      </c>
      <c r="C420" s="2" t="s">
        <v>34</v>
      </c>
      <c r="D420" s="3">
        <v>46157.858402777776</v>
      </c>
      <c r="E420" s="3">
        <v>46157.87090277778</v>
      </c>
      <c r="F420" s="9">
        <f>IF($K420="cancelled"," ",(quick_commerce_orders[[#This Row],[delivery_time]]-quick_commerce_orders[[#This Row],[order_time]])*1440)</f>
        <v>18.000000006286427</v>
      </c>
      <c r="G420" s="2">
        <v>1565.62</v>
      </c>
      <c r="H420" s="2" t="str">
        <f>IF(quick_commerce_orders[[#This Row],[order_value]]&lt;500,"Low",IF(quick_commerce_orders[[#This Row],[order_value]]&gt;1500,"High","Moderate"))</f>
        <v>High</v>
      </c>
      <c r="I4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0" s="2" t="s">
        <v>20</v>
      </c>
      <c r="K420" s="2" t="s">
        <v>16</v>
      </c>
    </row>
    <row r="421" spans="1:11" x14ac:dyDescent="0.2">
      <c r="A421" s="2" t="s">
        <v>857</v>
      </c>
      <c r="B421" s="2" t="s">
        <v>858</v>
      </c>
      <c r="C421" s="2" t="s">
        <v>31</v>
      </c>
      <c r="D421" s="3">
        <v>46174.181793981479</v>
      </c>
      <c r="E421" s="3"/>
      <c r="F421" s="9" t="str">
        <f>IF($K421="cancelled"," ",(quick_commerce_orders[[#This Row],[delivery_time]]-quick_commerce_orders[[#This Row],[order_time]])*1440)</f>
        <v xml:space="preserve"> </v>
      </c>
      <c r="G421" s="2">
        <v>1758.63</v>
      </c>
      <c r="H421" s="2" t="str">
        <f>IF(quick_commerce_orders[[#This Row],[order_value]]&lt;500,"Low",IF(quick_commerce_orders[[#This Row],[order_value]]&gt;1500,"High","Moderate"))</f>
        <v>High</v>
      </c>
      <c r="I4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1" s="2" t="s">
        <v>80</v>
      </c>
      <c r="K421" s="2" t="s">
        <v>58</v>
      </c>
    </row>
    <row r="422" spans="1:11" x14ac:dyDescent="0.2">
      <c r="A422" s="2" t="s">
        <v>859</v>
      </c>
      <c r="B422" s="2" t="s">
        <v>860</v>
      </c>
      <c r="C422" s="2" t="s">
        <v>31</v>
      </c>
      <c r="D422" s="3">
        <v>46147.307175925926</v>
      </c>
      <c r="E422" s="3">
        <v>46147.329398148147</v>
      </c>
      <c r="F422" s="9">
        <f>IF($K422="cancelled"," ",(quick_commerce_orders[[#This Row],[delivery_time]]-quick_commerce_orders[[#This Row],[order_time]])*1440)</f>
        <v>31.999999999534339</v>
      </c>
      <c r="G422" s="2">
        <v>1526.93</v>
      </c>
      <c r="H422" s="2" t="str">
        <f>IF(quick_commerce_orders[[#This Row],[order_value]]&lt;500,"Low",IF(quick_commerce_orders[[#This Row],[order_value]]&gt;1500,"High","Moderate"))</f>
        <v>High</v>
      </c>
      <c r="I4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22" s="2" t="s">
        <v>20</v>
      </c>
      <c r="K422" s="2" t="s">
        <v>12</v>
      </c>
    </row>
    <row r="423" spans="1:11" x14ac:dyDescent="0.2">
      <c r="A423" s="2" t="s">
        <v>861</v>
      </c>
      <c r="B423" s="2" t="s">
        <v>862</v>
      </c>
      <c r="C423" s="2" t="s">
        <v>42</v>
      </c>
      <c r="D423" s="3">
        <v>46153.87228009259</v>
      </c>
      <c r="E423" s="3">
        <v>46153.881307870368</v>
      </c>
      <c r="F423" s="9">
        <f>IF($K423="cancelled"," ",(quick_commerce_orders[[#This Row],[delivery_time]]-quick_commerce_orders[[#This Row],[order_time]])*1440)</f>
        <v>13.000000000465661</v>
      </c>
      <c r="G423" s="2">
        <v>1988.54</v>
      </c>
      <c r="H423" s="2" t="str">
        <f>IF(quick_commerce_orders[[#This Row],[order_value]]&lt;500,"Low",IF(quick_commerce_orders[[#This Row],[order_value]]&gt;1500,"High","Moderate"))</f>
        <v>High</v>
      </c>
      <c r="I4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3" s="2" t="s">
        <v>20</v>
      </c>
      <c r="K423" s="2" t="s">
        <v>16</v>
      </c>
    </row>
    <row r="424" spans="1:11" x14ac:dyDescent="0.2">
      <c r="A424" s="2" t="s">
        <v>863</v>
      </c>
      <c r="B424" s="2" t="s">
        <v>864</v>
      </c>
      <c r="C424" s="2" t="s">
        <v>34</v>
      </c>
      <c r="D424" s="3">
        <v>46164.583518518521</v>
      </c>
      <c r="E424" s="3">
        <v>46164.591157407405</v>
      </c>
      <c r="F424" s="9">
        <f>IF($K424="cancelled"," ",(quick_commerce_orders[[#This Row],[delivery_time]]-quick_commerce_orders[[#This Row],[order_time]])*1440)</f>
        <v>10.999999993946403</v>
      </c>
      <c r="G424" s="2">
        <v>524.80999999999995</v>
      </c>
      <c r="H424" s="2" t="str">
        <f>IF(quick_commerce_orders[[#This Row],[order_value]]&lt;500,"Low",IF(quick_commerce_orders[[#This Row],[order_value]]&gt;1500,"High","Moderate"))</f>
        <v>Moderate</v>
      </c>
      <c r="I4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4" s="2" t="s">
        <v>11</v>
      </c>
      <c r="K424" s="2" t="s">
        <v>16</v>
      </c>
    </row>
    <row r="425" spans="1:11" x14ac:dyDescent="0.2">
      <c r="A425" s="2" t="s">
        <v>865</v>
      </c>
      <c r="B425" s="2" t="s">
        <v>866</v>
      </c>
      <c r="C425" s="2" t="s">
        <v>53</v>
      </c>
      <c r="D425" s="3">
        <v>46156.322268518517</v>
      </c>
      <c r="E425" s="3">
        <v>46156.352824074071</v>
      </c>
      <c r="F425" s="9">
        <f>IF($K425="cancelled"," ",(quick_commerce_orders[[#This Row],[delivery_time]]-quick_commerce_orders[[#This Row],[order_time]])*1440)</f>
        <v>43.999999996740371</v>
      </c>
      <c r="G425" s="2">
        <v>1191.81</v>
      </c>
      <c r="H425" s="2" t="str">
        <f>IF(quick_commerce_orders[[#This Row],[order_value]]&lt;500,"Low",IF(quick_commerce_orders[[#This Row],[order_value]]&gt;1500,"High","Moderate"))</f>
        <v>Moderate</v>
      </c>
      <c r="I4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25" s="2" t="s">
        <v>11</v>
      </c>
      <c r="K425" s="2" t="s">
        <v>12</v>
      </c>
    </row>
    <row r="426" spans="1:11" x14ac:dyDescent="0.2">
      <c r="A426" s="2" t="s">
        <v>867</v>
      </c>
      <c r="B426" s="2" t="s">
        <v>868</v>
      </c>
      <c r="C426" s="2" t="s">
        <v>34</v>
      </c>
      <c r="D426" s="3">
        <v>46165.368125000001</v>
      </c>
      <c r="E426" s="3">
        <v>46165.378541666665</v>
      </c>
      <c r="F426" s="9">
        <f>IF($K426="cancelled"," ",(quick_commerce_orders[[#This Row],[delivery_time]]-quick_commerce_orders[[#This Row],[order_time]])*1440)</f>
        <v>14.99999999650754</v>
      </c>
      <c r="G426" s="2">
        <v>1488.52</v>
      </c>
      <c r="H426" s="2" t="str">
        <f>IF(quick_commerce_orders[[#This Row],[order_value]]&lt;500,"Low",IF(quick_commerce_orders[[#This Row],[order_value]]&gt;1500,"High","Moderate"))</f>
        <v>Moderate</v>
      </c>
      <c r="I4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26" s="2" t="s">
        <v>39</v>
      </c>
      <c r="K426" s="2" t="s">
        <v>16</v>
      </c>
    </row>
    <row r="427" spans="1:11" x14ac:dyDescent="0.2">
      <c r="A427" s="2" t="s">
        <v>869</v>
      </c>
      <c r="B427" s="2" t="s">
        <v>870</v>
      </c>
      <c r="C427" s="2" t="s">
        <v>34</v>
      </c>
      <c r="D427" s="3">
        <v>46143.058657407404</v>
      </c>
      <c r="E427" s="3">
        <v>46143.066296296296</v>
      </c>
      <c r="F427" s="9">
        <f>IF($K427="cancelled"," ",(quick_commerce_orders[[#This Row],[delivery_time]]-quick_commerce_orders[[#This Row],[order_time]])*1440)</f>
        <v>11.000000004423782</v>
      </c>
      <c r="G427" s="2">
        <v>2334.5500000000002</v>
      </c>
      <c r="H427" s="2" t="str">
        <f>IF(quick_commerce_orders[[#This Row],[order_value]]&lt;500,"Low",IF(quick_commerce_orders[[#This Row],[order_value]]&gt;1500,"High","Moderate"))</f>
        <v>High</v>
      </c>
      <c r="I4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27" s="2" t="s">
        <v>80</v>
      </c>
      <c r="K427" s="2" t="s">
        <v>16</v>
      </c>
    </row>
    <row r="428" spans="1:11" x14ac:dyDescent="0.2">
      <c r="A428" s="2" t="s">
        <v>871</v>
      </c>
      <c r="B428" s="2" t="s">
        <v>872</v>
      </c>
      <c r="C428" s="2" t="s">
        <v>75</v>
      </c>
      <c r="D428" s="3">
        <v>46169.247523148151</v>
      </c>
      <c r="E428" s="3"/>
      <c r="F428" s="9" t="str">
        <f>IF($K428="cancelled"," ",(quick_commerce_orders[[#This Row],[delivery_time]]-quick_commerce_orders[[#This Row],[order_time]])*1440)</f>
        <v xml:space="preserve"> </v>
      </c>
      <c r="G428" s="2">
        <v>322.5</v>
      </c>
      <c r="H428" s="2" t="str">
        <f>IF(quick_commerce_orders[[#This Row],[order_value]]&lt;500,"Low",IF(quick_commerce_orders[[#This Row],[order_value]]&gt;1500,"High","Moderate"))</f>
        <v>Low</v>
      </c>
      <c r="I4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8" s="2" t="s">
        <v>28</v>
      </c>
      <c r="K428" s="2" t="s">
        <v>58</v>
      </c>
    </row>
    <row r="429" spans="1:11" x14ac:dyDescent="0.2">
      <c r="A429" s="2" t="s">
        <v>873</v>
      </c>
      <c r="B429" s="2" t="s">
        <v>874</v>
      </c>
      <c r="C429" s="2" t="s">
        <v>75</v>
      </c>
      <c r="D429" s="3">
        <v>46174.5156712963</v>
      </c>
      <c r="E429" s="3">
        <v>46174.524699074071</v>
      </c>
      <c r="F429" s="9">
        <f>IF($K429="cancelled"," ",(quick_commerce_orders[[#This Row],[delivery_time]]-quick_commerce_orders[[#This Row],[order_time]])*1440)</f>
        <v>12.999999989988282</v>
      </c>
      <c r="G429" s="2">
        <v>817.31</v>
      </c>
      <c r="H429" s="2" t="str">
        <f>IF(quick_commerce_orders[[#This Row],[order_value]]&lt;500,"Low",IF(quick_commerce_orders[[#This Row],[order_value]]&gt;1500,"High","Moderate"))</f>
        <v>Moderate</v>
      </c>
      <c r="I4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29" s="2" t="s">
        <v>39</v>
      </c>
      <c r="K429" s="2" t="s">
        <v>16</v>
      </c>
    </row>
    <row r="430" spans="1:11" x14ac:dyDescent="0.2">
      <c r="A430" s="2" t="s">
        <v>875</v>
      </c>
      <c r="B430" s="2" t="s">
        <v>876</v>
      </c>
      <c r="C430" s="2" t="s">
        <v>27</v>
      </c>
      <c r="D430" s="3">
        <v>46167.162152777775</v>
      </c>
      <c r="E430" s="3">
        <v>46167.176041666666</v>
      </c>
      <c r="F430" s="9">
        <f>IF($K430="cancelled"," ",(quick_commerce_orders[[#This Row],[delivery_time]]-quick_commerce_orders[[#This Row],[order_time]])*1440)</f>
        <v>20.000000002328306</v>
      </c>
      <c r="G430" s="2">
        <v>983.57</v>
      </c>
      <c r="H430" s="2" t="str">
        <f>IF(quick_commerce_orders[[#This Row],[order_value]]&lt;500,"Low",IF(quick_commerce_orders[[#This Row],[order_value]]&gt;1500,"High","Moderate"))</f>
        <v>Moderate</v>
      </c>
      <c r="I4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30" s="2" t="s">
        <v>39</v>
      </c>
      <c r="K430" s="2" t="s">
        <v>16</v>
      </c>
    </row>
    <row r="431" spans="1:11" x14ac:dyDescent="0.2">
      <c r="A431" s="2" t="s">
        <v>877</v>
      </c>
      <c r="B431" s="2" t="s">
        <v>878</v>
      </c>
      <c r="C431" s="2" t="s">
        <v>31</v>
      </c>
      <c r="D431" s="3">
        <v>46157.227824074071</v>
      </c>
      <c r="E431" s="3"/>
      <c r="F431" s="9" t="str">
        <f>IF($K431="cancelled"," ",(quick_commerce_orders[[#This Row],[delivery_time]]-quick_commerce_orders[[#This Row],[order_time]])*1440)</f>
        <v xml:space="preserve"> </v>
      </c>
      <c r="G431" s="2">
        <v>1008.45</v>
      </c>
      <c r="H431" s="2" t="str">
        <f>IF(quick_commerce_orders[[#This Row],[order_value]]&lt;500,"Low",IF(quick_commerce_orders[[#This Row],[order_value]]&gt;1500,"High","Moderate"))</f>
        <v>Moderate</v>
      </c>
      <c r="I4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1" s="2" t="s">
        <v>28</v>
      </c>
      <c r="K431" s="2" t="s">
        <v>58</v>
      </c>
    </row>
    <row r="432" spans="1:11" x14ac:dyDescent="0.2">
      <c r="A432" s="2" t="s">
        <v>879</v>
      </c>
      <c r="B432" s="2" t="s">
        <v>880</v>
      </c>
      <c r="C432" s="2" t="s">
        <v>53</v>
      </c>
      <c r="D432" s="3">
        <v>46145.375925925924</v>
      </c>
      <c r="E432" s="3">
        <v>46145.384953703702</v>
      </c>
      <c r="F432" s="9">
        <f>IF($K432="cancelled"," ",(quick_commerce_orders[[#This Row],[delivery_time]]-quick_commerce_orders[[#This Row],[order_time]])*1440)</f>
        <v>13.000000000465661</v>
      </c>
      <c r="G432" s="2">
        <v>261.39999999999998</v>
      </c>
      <c r="H432" s="2" t="str">
        <f>IF(quick_commerce_orders[[#This Row],[order_value]]&lt;500,"Low",IF(quick_commerce_orders[[#This Row],[order_value]]&gt;1500,"High","Moderate"))</f>
        <v>Low</v>
      </c>
      <c r="I4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32" s="2" t="s">
        <v>15</v>
      </c>
      <c r="K432" s="2" t="s">
        <v>16</v>
      </c>
    </row>
    <row r="433" spans="1:11" x14ac:dyDescent="0.2">
      <c r="A433" s="2" t="s">
        <v>881</v>
      </c>
      <c r="B433" s="2" t="s">
        <v>882</v>
      </c>
      <c r="C433" s="2" t="s">
        <v>75</v>
      </c>
      <c r="D433" s="3">
        <v>46159.128020833334</v>
      </c>
      <c r="E433" s="3"/>
      <c r="F433" s="9" t="str">
        <f>IF($K433="cancelled"," ",(quick_commerce_orders[[#This Row],[delivery_time]]-quick_commerce_orders[[#This Row],[order_time]])*1440)</f>
        <v xml:space="preserve"> </v>
      </c>
      <c r="G433" s="2">
        <v>1124.58</v>
      </c>
      <c r="H433" s="2" t="str">
        <f>IF(quick_commerce_orders[[#This Row],[order_value]]&lt;500,"Low",IF(quick_commerce_orders[[#This Row],[order_value]]&gt;1500,"High","Moderate"))</f>
        <v>Moderate</v>
      </c>
      <c r="I4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3" s="2" t="s">
        <v>11</v>
      </c>
      <c r="K433" s="2" t="s">
        <v>58</v>
      </c>
    </row>
    <row r="434" spans="1:11" x14ac:dyDescent="0.2">
      <c r="A434" s="2" t="s">
        <v>883</v>
      </c>
      <c r="B434" s="2" t="s">
        <v>884</v>
      </c>
      <c r="C434" s="2" t="s">
        <v>34</v>
      </c>
      <c r="D434" s="3">
        <v>46153.507476851853</v>
      </c>
      <c r="E434" s="3">
        <v>46153.519976851851</v>
      </c>
      <c r="F434" s="9">
        <f>IF($K434="cancelled"," ",(quick_commerce_orders[[#This Row],[delivery_time]]-quick_commerce_orders[[#This Row],[order_time]])*1440)</f>
        <v>17.999999995809048</v>
      </c>
      <c r="G434" s="2">
        <v>1420.13</v>
      </c>
      <c r="H434" s="2" t="str">
        <f>IF(quick_commerce_orders[[#This Row],[order_value]]&lt;500,"Low",IF(quick_commerce_orders[[#This Row],[order_value]]&gt;1500,"High","Moderate"))</f>
        <v>Moderate</v>
      </c>
      <c r="I4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4" s="2" t="s">
        <v>80</v>
      </c>
      <c r="K434" s="2" t="s">
        <v>16</v>
      </c>
    </row>
    <row r="435" spans="1:11" x14ac:dyDescent="0.2">
      <c r="A435" s="2" t="s">
        <v>885</v>
      </c>
      <c r="B435" s="2" t="s">
        <v>886</v>
      </c>
      <c r="C435" s="2" t="s">
        <v>34</v>
      </c>
      <c r="D435" s="3">
        <v>46147.747974537036</v>
      </c>
      <c r="E435" s="3">
        <v>46147.754918981482</v>
      </c>
      <c r="F435" s="9">
        <f>IF($K435="cancelled"," ",(quick_commerce_orders[[#This Row],[delivery_time]]-quick_commerce_orders[[#This Row],[order_time]])*1440)</f>
        <v>10.000000001164153</v>
      </c>
      <c r="G435" s="2">
        <v>801.8</v>
      </c>
      <c r="H435" s="2" t="str">
        <f>IF(quick_commerce_orders[[#This Row],[order_value]]&lt;500,"Low",IF(quick_commerce_orders[[#This Row],[order_value]]&gt;1500,"High","Moderate"))</f>
        <v>Moderate</v>
      </c>
      <c r="I4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5" s="2" t="s">
        <v>20</v>
      </c>
      <c r="K435" s="2" t="s">
        <v>16</v>
      </c>
    </row>
    <row r="436" spans="1:11" x14ac:dyDescent="0.2">
      <c r="A436" s="2" t="s">
        <v>887</v>
      </c>
      <c r="B436" s="2" t="s">
        <v>888</v>
      </c>
      <c r="C436" s="2" t="s">
        <v>27</v>
      </c>
      <c r="D436" s="3">
        <v>46164.819409722222</v>
      </c>
      <c r="E436" s="3">
        <v>46164.830520833333</v>
      </c>
      <c r="F436" s="9">
        <f>IF($K436="cancelled"," ",(quick_commerce_orders[[#This Row],[delivery_time]]-quick_commerce_orders[[#This Row],[order_time]])*1440)</f>
        <v>15.999999999767169</v>
      </c>
      <c r="G436" s="2">
        <v>421.91</v>
      </c>
      <c r="H436" s="2" t="str">
        <f>IF(quick_commerce_orders[[#This Row],[order_value]]&lt;500,"Low",IF(quick_commerce_orders[[#This Row],[order_value]]&gt;1500,"High","Moderate"))</f>
        <v>Low</v>
      </c>
      <c r="I4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6" s="2" t="s">
        <v>15</v>
      </c>
      <c r="K436" s="2" t="s">
        <v>16</v>
      </c>
    </row>
    <row r="437" spans="1:11" x14ac:dyDescent="0.2">
      <c r="A437" s="2" t="s">
        <v>889</v>
      </c>
      <c r="B437" s="2" t="s">
        <v>890</v>
      </c>
      <c r="C437" s="2" t="s">
        <v>27</v>
      </c>
      <c r="D437" s="3">
        <v>46173.917673611111</v>
      </c>
      <c r="E437" s="3"/>
      <c r="F437" s="9" t="str">
        <f>IF($K437="cancelled"," ",(quick_commerce_orders[[#This Row],[delivery_time]]-quick_commerce_orders[[#This Row],[order_time]])*1440)</f>
        <v xml:space="preserve"> </v>
      </c>
      <c r="G437" s="2">
        <v>1766.09</v>
      </c>
      <c r="H437" s="2" t="str">
        <f>IF(quick_commerce_orders[[#This Row],[order_value]]&lt;500,"Low",IF(quick_commerce_orders[[#This Row],[order_value]]&gt;1500,"High","Moderate"))</f>
        <v>High</v>
      </c>
      <c r="I4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7" s="2" t="s">
        <v>80</v>
      </c>
      <c r="K437" s="2" t="s">
        <v>58</v>
      </c>
    </row>
    <row r="438" spans="1:11" x14ac:dyDescent="0.2">
      <c r="A438" s="2" t="s">
        <v>891</v>
      </c>
      <c r="B438" s="2" t="s">
        <v>892</v>
      </c>
      <c r="C438" s="2" t="s">
        <v>31</v>
      </c>
      <c r="D438" s="3">
        <v>46153.830868055556</v>
      </c>
      <c r="E438" s="3">
        <v>46153.844756944447</v>
      </c>
      <c r="F438" s="9">
        <f>IF($K438="cancelled"," ",(quick_commerce_orders[[#This Row],[delivery_time]]-quick_commerce_orders[[#This Row],[order_time]])*1440)</f>
        <v>20.000000002328306</v>
      </c>
      <c r="G438" s="2">
        <v>757.6</v>
      </c>
      <c r="H438" s="2" t="str">
        <f>IF(quick_commerce_orders[[#This Row],[order_value]]&lt;500,"Low",IF(quick_commerce_orders[[#This Row],[order_value]]&gt;1500,"High","Moderate"))</f>
        <v>Moderate</v>
      </c>
      <c r="I4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38" s="2" t="s">
        <v>11</v>
      </c>
      <c r="K438" s="2" t="s">
        <v>16</v>
      </c>
    </row>
    <row r="439" spans="1:11" x14ac:dyDescent="0.2">
      <c r="A439" s="2" t="s">
        <v>893</v>
      </c>
      <c r="B439" s="2" t="s">
        <v>894</v>
      </c>
      <c r="C439" s="2" t="s">
        <v>75</v>
      </c>
      <c r="D439" s="3">
        <v>46153.046076388891</v>
      </c>
      <c r="E439" s="3">
        <v>46153.057881944442</v>
      </c>
      <c r="F439" s="9">
        <f>IF($K439="cancelled"," ",(quick_commerce_orders[[#This Row],[delivery_time]]-quick_commerce_orders[[#This Row],[order_time]])*1440)</f>
        <v>16.999999992549419</v>
      </c>
      <c r="G439" s="2">
        <v>1363.93</v>
      </c>
      <c r="H439" s="2" t="str">
        <f>IF(quick_commerce_orders[[#This Row],[order_value]]&lt;500,"Low",IF(quick_commerce_orders[[#This Row],[order_value]]&gt;1500,"High","Moderate"))</f>
        <v>Moderate</v>
      </c>
      <c r="I4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39" s="2" t="s">
        <v>11</v>
      </c>
      <c r="K439" s="2" t="s">
        <v>16</v>
      </c>
    </row>
    <row r="440" spans="1:11" x14ac:dyDescent="0.2">
      <c r="A440" s="2" t="s">
        <v>895</v>
      </c>
      <c r="B440" s="2" t="s">
        <v>896</v>
      </c>
      <c r="C440" s="2" t="s">
        <v>53</v>
      </c>
      <c r="D440" s="3">
        <v>46156.268564814818</v>
      </c>
      <c r="E440" s="3">
        <v>46156.278287037036</v>
      </c>
      <c r="F440" s="9">
        <f>IF($K440="cancelled"," ",(quick_commerce_orders[[#This Row],[delivery_time]]-quick_commerce_orders[[#This Row],[order_time]])*1440)</f>
        <v>13.999999993247911</v>
      </c>
      <c r="G440" s="2">
        <v>1358.15</v>
      </c>
      <c r="H440" s="2" t="str">
        <f>IF(quick_commerce_orders[[#This Row],[order_value]]&lt;500,"Low",IF(quick_commerce_orders[[#This Row],[order_value]]&gt;1500,"High","Moderate"))</f>
        <v>Moderate</v>
      </c>
      <c r="I4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40" s="2" t="s">
        <v>80</v>
      </c>
      <c r="K440" s="2" t="s">
        <v>16</v>
      </c>
    </row>
    <row r="441" spans="1:11" x14ac:dyDescent="0.2">
      <c r="A441" s="2" t="s">
        <v>897</v>
      </c>
      <c r="B441" s="2" t="s">
        <v>898</v>
      </c>
      <c r="C441" s="2" t="s">
        <v>53</v>
      </c>
      <c r="D441" s="3">
        <v>46159.887719907405</v>
      </c>
      <c r="E441" s="3">
        <v>46159.900914351849</v>
      </c>
      <c r="F441" s="9">
        <f>IF($K441="cancelled"," ",(quick_commerce_orders[[#This Row],[delivery_time]]-quick_commerce_orders[[#This Row],[order_time]])*1440)</f>
        <v>18.999999999068677</v>
      </c>
      <c r="G441" s="2">
        <v>1768.99</v>
      </c>
      <c r="H441" s="2" t="str">
        <f>IF(quick_commerce_orders[[#This Row],[order_value]]&lt;500,"Low",IF(quick_commerce_orders[[#This Row],[order_value]]&gt;1500,"High","Moderate"))</f>
        <v>High</v>
      </c>
      <c r="I4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41" s="2" t="s">
        <v>20</v>
      </c>
      <c r="K441" s="2" t="s">
        <v>16</v>
      </c>
    </row>
    <row r="442" spans="1:11" x14ac:dyDescent="0.2">
      <c r="A442" s="2" t="s">
        <v>899</v>
      </c>
      <c r="B442" s="2" t="s">
        <v>900</v>
      </c>
      <c r="C442" s="2" t="s">
        <v>19</v>
      </c>
      <c r="D442" s="3">
        <v>46158.127372685187</v>
      </c>
      <c r="E442" s="3">
        <v>46158.133622685185</v>
      </c>
      <c r="F442" s="9">
        <f>IF($K442="cancelled"," ",(quick_commerce_orders[[#This Row],[delivery_time]]-quick_commerce_orders[[#This Row],[order_time]])*1440)</f>
        <v>8.9999999979045242</v>
      </c>
      <c r="G442" s="2">
        <v>1567.93</v>
      </c>
      <c r="H442" s="2" t="str">
        <f>IF(quick_commerce_orders[[#This Row],[order_value]]&lt;500,"Low",IF(quick_commerce_orders[[#This Row],[order_value]]&gt;1500,"High","Moderate"))</f>
        <v>High</v>
      </c>
      <c r="I4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42" s="2" t="s">
        <v>15</v>
      </c>
      <c r="K442" s="2" t="s">
        <v>16</v>
      </c>
    </row>
    <row r="443" spans="1:11" x14ac:dyDescent="0.2">
      <c r="A443" s="2" t="s">
        <v>901</v>
      </c>
      <c r="B443" s="2" t="s">
        <v>902</v>
      </c>
      <c r="C443" s="2" t="s">
        <v>34</v>
      </c>
      <c r="D443" s="3">
        <v>46174.169016203705</v>
      </c>
      <c r="E443" s="3">
        <v>46174.175266203703</v>
      </c>
      <c r="F443" s="9">
        <f>IF($K443="cancelled"," ",(quick_commerce_orders[[#This Row],[delivery_time]]-quick_commerce_orders[[#This Row],[order_time]])*1440)</f>
        <v>8.9999999979045242</v>
      </c>
      <c r="G443" s="2">
        <v>361.33</v>
      </c>
      <c r="H443" s="2" t="str">
        <f>IF(quick_commerce_orders[[#This Row],[order_value]]&lt;500,"Low",IF(quick_commerce_orders[[#This Row],[order_value]]&gt;1500,"High","Moderate"))</f>
        <v>Low</v>
      </c>
      <c r="I4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43" s="2" t="s">
        <v>11</v>
      </c>
      <c r="K443" s="2" t="s">
        <v>16</v>
      </c>
    </row>
    <row r="444" spans="1:11" x14ac:dyDescent="0.2">
      <c r="A444" s="2" t="s">
        <v>903</v>
      </c>
      <c r="B444" s="2" t="s">
        <v>904</v>
      </c>
      <c r="C444" s="2" t="s">
        <v>27</v>
      </c>
      <c r="D444" s="3">
        <v>46143.545347222222</v>
      </c>
      <c r="E444" s="3">
        <v>46143.552291666667</v>
      </c>
      <c r="F444" s="9">
        <f>IF($K444="cancelled"," ",(quick_commerce_orders[[#This Row],[delivery_time]]-quick_commerce_orders[[#This Row],[order_time]])*1440)</f>
        <v>10.000000001164153</v>
      </c>
      <c r="G444" s="2">
        <v>1850.35</v>
      </c>
      <c r="H444" s="2" t="str">
        <f>IF(quick_commerce_orders[[#This Row],[order_value]]&lt;500,"Low",IF(quick_commerce_orders[[#This Row],[order_value]]&gt;1500,"High","Moderate"))</f>
        <v>High</v>
      </c>
      <c r="I4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44" s="2" t="s">
        <v>11</v>
      </c>
      <c r="K444" s="2" t="s">
        <v>16</v>
      </c>
    </row>
    <row r="445" spans="1:11" x14ac:dyDescent="0.2">
      <c r="A445" s="2" t="s">
        <v>905</v>
      </c>
      <c r="B445" s="2" t="s">
        <v>906</v>
      </c>
      <c r="C445" s="2" t="s">
        <v>34</v>
      </c>
      <c r="D445" s="3">
        <v>46173.254178240742</v>
      </c>
      <c r="E445" s="3"/>
      <c r="F445" s="9" t="str">
        <f>IF($K445="cancelled"," ",(quick_commerce_orders[[#This Row],[delivery_time]]-quick_commerce_orders[[#This Row],[order_time]])*1440)</f>
        <v xml:space="preserve"> </v>
      </c>
      <c r="G445" s="2">
        <v>1608.55</v>
      </c>
      <c r="H445" s="2" t="str">
        <f>IF(quick_commerce_orders[[#This Row],[order_value]]&lt;500,"Low",IF(quick_commerce_orders[[#This Row],[order_value]]&gt;1500,"High","Moderate"))</f>
        <v>High</v>
      </c>
      <c r="I4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45" s="2" t="s">
        <v>15</v>
      </c>
      <c r="K445" s="2" t="s">
        <v>58</v>
      </c>
    </row>
    <row r="446" spans="1:11" x14ac:dyDescent="0.2">
      <c r="A446" s="2" t="s">
        <v>907</v>
      </c>
      <c r="B446" s="2" t="s">
        <v>908</v>
      </c>
      <c r="C446" s="2" t="s">
        <v>10</v>
      </c>
      <c r="D446" s="3">
        <v>46156.236319444448</v>
      </c>
      <c r="E446" s="3">
        <v>46156.243263888886</v>
      </c>
      <c r="F446" s="9">
        <f>IF($K446="cancelled"," ",(quick_commerce_orders[[#This Row],[delivery_time]]-quick_commerce_orders[[#This Row],[order_time]])*1440)</f>
        <v>9.9999999906867743</v>
      </c>
      <c r="G446" s="2">
        <v>2468.25</v>
      </c>
      <c r="H446" s="2" t="str">
        <f>IF(quick_commerce_orders[[#This Row],[order_value]]&lt;500,"Low",IF(quick_commerce_orders[[#This Row],[order_value]]&gt;1500,"High","Moderate"))</f>
        <v>High</v>
      </c>
      <c r="I4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46" s="2" t="s">
        <v>15</v>
      </c>
      <c r="K446" s="2" t="s">
        <v>16</v>
      </c>
    </row>
    <row r="447" spans="1:11" x14ac:dyDescent="0.2">
      <c r="A447" s="2" t="s">
        <v>909</v>
      </c>
      <c r="B447" s="2" t="s">
        <v>910</v>
      </c>
      <c r="C447" s="2" t="s">
        <v>31</v>
      </c>
      <c r="D447" s="3">
        <v>46148.662581018521</v>
      </c>
      <c r="E447" s="3">
        <v>46148.676469907405</v>
      </c>
      <c r="F447" s="9">
        <f>IF($K447="cancelled"," ",(quick_commerce_orders[[#This Row],[delivery_time]]-quick_commerce_orders[[#This Row],[order_time]])*1440)</f>
        <v>19.999999991850927</v>
      </c>
      <c r="G447" s="2">
        <v>1259.79</v>
      </c>
      <c r="H447" s="2" t="str">
        <f>IF(quick_commerce_orders[[#This Row],[order_value]]&lt;500,"Low",IF(quick_commerce_orders[[#This Row],[order_value]]&gt;1500,"High","Moderate"))</f>
        <v>Moderate</v>
      </c>
      <c r="I4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47" s="2" t="s">
        <v>20</v>
      </c>
      <c r="K447" s="2" t="s">
        <v>16</v>
      </c>
    </row>
    <row r="448" spans="1:11" x14ac:dyDescent="0.2">
      <c r="A448" s="2" t="s">
        <v>911</v>
      </c>
      <c r="B448" s="2" t="s">
        <v>912</v>
      </c>
      <c r="C448" s="2" t="s">
        <v>34</v>
      </c>
      <c r="D448" s="3">
        <v>46162.521192129629</v>
      </c>
      <c r="E448" s="3">
        <v>46162.528831018521</v>
      </c>
      <c r="F448" s="9">
        <f>IF($K448="cancelled"," ",(quick_commerce_orders[[#This Row],[delivery_time]]-quick_commerce_orders[[#This Row],[order_time]])*1440)</f>
        <v>11.000000004423782</v>
      </c>
      <c r="G448" s="2">
        <v>1751.77</v>
      </c>
      <c r="H448" s="2" t="str">
        <f>IF(quick_commerce_orders[[#This Row],[order_value]]&lt;500,"Low",IF(quick_commerce_orders[[#This Row],[order_value]]&gt;1500,"High","Moderate"))</f>
        <v>High</v>
      </c>
      <c r="I4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48" s="2" t="s">
        <v>20</v>
      </c>
      <c r="K448" s="2" t="s">
        <v>16</v>
      </c>
    </row>
    <row r="449" spans="1:11" x14ac:dyDescent="0.2">
      <c r="A449" s="2" t="s">
        <v>913</v>
      </c>
      <c r="B449" s="2" t="s">
        <v>914</v>
      </c>
      <c r="C449" s="2" t="s">
        <v>42</v>
      </c>
      <c r="D449" s="3">
        <v>46159.112199074072</v>
      </c>
      <c r="E449" s="3"/>
      <c r="F449" s="9" t="str">
        <f>IF($K449="cancelled"," ",(quick_commerce_orders[[#This Row],[delivery_time]]-quick_commerce_orders[[#This Row],[order_time]])*1440)</f>
        <v xml:space="preserve"> </v>
      </c>
      <c r="G449" s="2">
        <v>2340.34</v>
      </c>
      <c r="H449" s="2" t="str">
        <f>IF(quick_commerce_orders[[#This Row],[order_value]]&lt;500,"Low",IF(quick_commerce_orders[[#This Row],[order_value]]&gt;1500,"High","Moderate"))</f>
        <v>High</v>
      </c>
      <c r="I4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49" s="2" t="s">
        <v>80</v>
      </c>
      <c r="K449" s="2" t="s">
        <v>58</v>
      </c>
    </row>
    <row r="450" spans="1:11" x14ac:dyDescent="0.2">
      <c r="A450" s="2" t="s">
        <v>915</v>
      </c>
      <c r="B450" s="2" t="s">
        <v>916</v>
      </c>
      <c r="C450" s="2" t="s">
        <v>27</v>
      </c>
      <c r="D450" s="3">
        <v>46167.224953703706</v>
      </c>
      <c r="E450" s="3">
        <v>46167.250648148147</v>
      </c>
      <c r="F450" s="9">
        <f>IF($K450="cancelled"," ",(quick_commerce_orders[[#This Row],[delivery_time]]-quick_commerce_orders[[#This Row],[order_time]])*1440)</f>
        <v>36.999999994877726</v>
      </c>
      <c r="G450" s="2">
        <v>2466.0700000000002</v>
      </c>
      <c r="H450" s="2" t="str">
        <f>IF(quick_commerce_orders[[#This Row],[order_value]]&lt;500,"Low",IF(quick_commerce_orders[[#This Row],[order_value]]&gt;1500,"High","Moderate"))</f>
        <v>High</v>
      </c>
      <c r="I4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50" s="2" t="s">
        <v>15</v>
      </c>
      <c r="K450" s="2" t="s">
        <v>12</v>
      </c>
    </row>
    <row r="451" spans="1:11" x14ac:dyDescent="0.2">
      <c r="A451" s="2" t="s">
        <v>917</v>
      </c>
      <c r="B451" s="2" t="s">
        <v>918</v>
      </c>
      <c r="C451" s="2" t="s">
        <v>34</v>
      </c>
      <c r="D451" s="3">
        <v>46167.466296296298</v>
      </c>
      <c r="E451" s="3">
        <v>46167.477407407408</v>
      </c>
      <c r="F451" s="9">
        <f>IF($K451="cancelled"," ",(quick_commerce_orders[[#This Row],[delivery_time]]-quick_commerce_orders[[#This Row],[order_time]])*1440)</f>
        <v>15.999999999767169</v>
      </c>
      <c r="G451" s="2">
        <v>788.25</v>
      </c>
      <c r="H451" s="2" t="str">
        <f>IF(quick_commerce_orders[[#This Row],[order_value]]&lt;500,"Low",IF(quick_commerce_orders[[#This Row],[order_value]]&gt;1500,"High","Moderate"))</f>
        <v>Moderate</v>
      </c>
      <c r="I4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51" s="2" t="s">
        <v>28</v>
      </c>
      <c r="K451" s="2" t="s">
        <v>16</v>
      </c>
    </row>
    <row r="452" spans="1:11" x14ac:dyDescent="0.2">
      <c r="A452" s="2" t="s">
        <v>919</v>
      </c>
      <c r="B452" s="2" t="s">
        <v>920</v>
      </c>
      <c r="C452" s="2" t="s">
        <v>53</v>
      </c>
      <c r="D452" s="3">
        <v>46145.353113425925</v>
      </c>
      <c r="E452" s="3">
        <v>46145.387141203704</v>
      </c>
      <c r="F452" s="9">
        <f>IF($K452="cancelled"," ",(quick_commerce_orders[[#This Row],[delivery_time]]-quick_commerce_orders[[#This Row],[order_time]])*1440)</f>
        <v>49.000000002561137</v>
      </c>
      <c r="G452" s="2">
        <v>1560.23</v>
      </c>
      <c r="H452" s="2" t="str">
        <f>IF(quick_commerce_orders[[#This Row],[order_value]]&lt;500,"Low",IF(quick_commerce_orders[[#This Row],[order_value]]&gt;1500,"High","Moderate"))</f>
        <v>High</v>
      </c>
      <c r="I4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52" s="2" t="s">
        <v>80</v>
      </c>
      <c r="K452" s="2" t="s">
        <v>12</v>
      </c>
    </row>
    <row r="453" spans="1:11" x14ac:dyDescent="0.2">
      <c r="A453" s="2" t="s">
        <v>921</v>
      </c>
      <c r="B453" s="2" t="s">
        <v>922</v>
      </c>
      <c r="C453" s="2" t="s">
        <v>31</v>
      </c>
      <c r="D453" s="3">
        <v>46159.328668981485</v>
      </c>
      <c r="E453" s="3">
        <v>46159.341863425929</v>
      </c>
      <c r="F453" s="9">
        <f>IF($K453="cancelled"," ",(quick_commerce_orders[[#This Row],[delivery_time]]-quick_commerce_orders[[#This Row],[order_time]])*1440)</f>
        <v>18.999999999068677</v>
      </c>
      <c r="G453" s="2">
        <v>858.57</v>
      </c>
      <c r="H453" s="2" t="str">
        <f>IF(quick_commerce_orders[[#This Row],[order_value]]&lt;500,"Low",IF(quick_commerce_orders[[#This Row],[order_value]]&gt;1500,"High","Moderate"))</f>
        <v>Moderate</v>
      </c>
      <c r="I4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53" s="2" t="s">
        <v>28</v>
      </c>
      <c r="K453" s="2" t="s">
        <v>16</v>
      </c>
    </row>
    <row r="454" spans="1:11" x14ac:dyDescent="0.2">
      <c r="A454" s="2" t="s">
        <v>923</v>
      </c>
      <c r="B454" s="2" t="s">
        <v>924</v>
      </c>
      <c r="C454" s="2" t="s">
        <v>53</v>
      </c>
      <c r="D454" s="3">
        <v>46146.200509259259</v>
      </c>
      <c r="E454" s="3">
        <v>46146.209537037037</v>
      </c>
      <c r="F454" s="9">
        <f>IF($K454="cancelled"," ",(quick_commerce_orders[[#This Row],[delivery_time]]-quick_commerce_orders[[#This Row],[order_time]])*1440)</f>
        <v>13.000000000465661</v>
      </c>
      <c r="G454" s="2">
        <v>1359.94</v>
      </c>
      <c r="H454" s="2" t="str">
        <f>IF(quick_commerce_orders[[#This Row],[order_value]]&lt;500,"Low",IF(quick_commerce_orders[[#This Row],[order_value]]&gt;1500,"High","Moderate"))</f>
        <v>Moderate</v>
      </c>
      <c r="I4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54" s="2" t="s">
        <v>80</v>
      </c>
      <c r="K454" s="2" t="s">
        <v>16</v>
      </c>
    </row>
    <row r="455" spans="1:11" x14ac:dyDescent="0.2">
      <c r="A455" s="2" t="s">
        <v>925</v>
      </c>
      <c r="B455" s="2" t="s">
        <v>926</v>
      </c>
      <c r="C455" s="2" t="s">
        <v>42</v>
      </c>
      <c r="D455" s="3">
        <v>46149.112754629627</v>
      </c>
      <c r="E455" s="3">
        <v>46149.121782407405</v>
      </c>
      <c r="F455" s="9">
        <f>IF($K455="cancelled"," ",(quick_commerce_orders[[#This Row],[delivery_time]]-quick_commerce_orders[[#This Row],[order_time]])*1440)</f>
        <v>13.000000000465661</v>
      </c>
      <c r="G455" s="2">
        <v>2487.06</v>
      </c>
      <c r="H455" s="2" t="str">
        <f>IF(quick_commerce_orders[[#This Row],[order_value]]&lt;500,"Low",IF(quick_commerce_orders[[#This Row],[order_value]]&gt;1500,"High","Moderate"))</f>
        <v>High</v>
      </c>
      <c r="I4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55" s="2" t="s">
        <v>28</v>
      </c>
      <c r="K455" s="2" t="s">
        <v>16</v>
      </c>
    </row>
    <row r="456" spans="1:11" x14ac:dyDescent="0.2">
      <c r="A456" s="2" t="s">
        <v>927</v>
      </c>
      <c r="B456" s="2" t="s">
        <v>928</v>
      </c>
      <c r="C456" s="2" t="s">
        <v>27</v>
      </c>
      <c r="D456" s="3">
        <v>46169.760127314818</v>
      </c>
      <c r="E456" s="3">
        <v>46169.771932870368</v>
      </c>
      <c r="F456" s="9">
        <f>IF($K456="cancelled"," ",(quick_commerce_orders[[#This Row],[delivery_time]]-quick_commerce_orders[[#This Row],[order_time]])*1440)</f>
        <v>16.999999992549419</v>
      </c>
      <c r="G456" s="2">
        <v>948.25</v>
      </c>
      <c r="H456" s="2" t="str">
        <f>IF(quick_commerce_orders[[#This Row],[order_value]]&lt;500,"Low",IF(quick_commerce_orders[[#This Row],[order_value]]&gt;1500,"High","Moderate"))</f>
        <v>Moderate</v>
      </c>
      <c r="I4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56" s="2" t="s">
        <v>20</v>
      </c>
      <c r="K456" s="2" t="s">
        <v>16</v>
      </c>
    </row>
    <row r="457" spans="1:11" x14ac:dyDescent="0.2">
      <c r="A457" s="2" t="s">
        <v>929</v>
      </c>
      <c r="B457" s="2" t="s">
        <v>930</v>
      </c>
      <c r="C457" s="2" t="s">
        <v>10</v>
      </c>
      <c r="D457" s="3">
        <v>46146.536493055559</v>
      </c>
      <c r="E457" s="3">
        <v>46146.546215277776</v>
      </c>
      <c r="F457" s="9">
        <f>IF($K457="cancelled"," ",(quick_commerce_orders[[#This Row],[delivery_time]]-quick_commerce_orders[[#This Row],[order_time]])*1440)</f>
        <v>13.999999993247911</v>
      </c>
      <c r="G457" s="2">
        <v>410.31</v>
      </c>
      <c r="H457" s="2" t="str">
        <f>IF(quick_commerce_orders[[#This Row],[order_value]]&lt;500,"Low",IF(quick_commerce_orders[[#This Row],[order_value]]&gt;1500,"High","Moderate"))</f>
        <v>Low</v>
      </c>
      <c r="I4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57" s="2" t="s">
        <v>80</v>
      </c>
      <c r="K457" s="2" t="s">
        <v>16</v>
      </c>
    </row>
    <row r="458" spans="1:11" x14ac:dyDescent="0.2">
      <c r="A458" s="2" t="s">
        <v>931</v>
      </c>
      <c r="B458" s="2" t="s">
        <v>932</v>
      </c>
      <c r="C458" s="2" t="s">
        <v>34</v>
      </c>
      <c r="D458" s="3">
        <v>46169.73883101852</v>
      </c>
      <c r="E458" s="3">
        <v>46169.751331018517</v>
      </c>
      <c r="F458" s="9">
        <f>IF($K458="cancelled"," ",(quick_commerce_orders[[#This Row],[delivery_time]]-quick_commerce_orders[[#This Row],[order_time]])*1440)</f>
        <v>17.999999995809048</v>
      </c>
      <c r="G458" s="2">
        <v>1449.32</v>
      </c>
      <c r="H458" s="2" t="str">
        <f>IF(quick_commerce_orders[[#This Row],[order_value]]&lt;500,"Low",IF(quick_commerce_orders[[#This Row],[order_value]]&gt;1500,"High","Moderate"))</f>
        <v>Moderate</v>
      </c>
      <c r="I4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58" s="2" t="s">
        <v>80</v>
      </c>
      <c r="K458" s="2" t="s">
        <v>16</v>
      </c>
    </row>
    <row r="459" spans="1:11" x14ac:dyDescent="0.2">
      <c r="A459" s="2" t="s">
        <v>933</v>
      </c>
      <c r="B459" s="2" t="s">
        <v>934</v>
      </c>
      <c r="C459" s="2" t="s">
        <v>34</v>
      </c>
      <c r="D459" s="3">
        <v>46173.7890625</v>
      </c>
      <c r="E459" s="3">
        <v>46173.796701388892</v>
      </c>
      <c r="F459" s="9">
        <f>IF($K459="cancelled"," ",(quick_commerce_orders[[#This Row],[delivery_time]]-quick_commerce_orders[[#This Row],[order_time]])*1440)</f>
        <v>11.000000004423782</v>
      </c>
      <c r="G459" s="2">
        <v>1346.29</v>
      </c>
      <c r="H459" s="2" t="str">
        <f>IF(quick_commerce_orders[[#This Row],[order_value]]&lt;500,"Low",IF(quick_commerce_orders[[#This Row],[order_value]]&gt;1500,"High","Moderate"))</f>
        <v>Moderate</v>
      </c>
      <c r="I4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59" s="2" t="s">
        <v>39</v>
      </c>
      <c r="K459" s="2" t="s">
        <v>16</v>
      </c>
    </row>
    <row r="460" spans="1:11" x14ac:dyDescent="0.2">
      <c r="A460" s="2" t="s">
        <v>935</v>
      </c>
      <c r="B460" s="2" t="s">
        <v>936</v>
      </c>
      <c r="C460" s="2" t="s">
        <v>42</v>
      </c>
      <c r="D460" s="3">
        <v>46173.378761574073</v>
      </c>
      <c r="E460" s="3">
        <v>46173.384317129632</v>
      </c>
      <c r="F460" s="9">
        <f>IF($K460="cancelled"," ",(quick_commerce_orders[[#This Row],[delivery_time]]-quick_commerce_orders[[#This Row],[order_time]])*1440)</f>
        <v>8.0000000051222742</v>
      </c>
      <c r="G460" s="2">
        <v>1615.46</v>
      </c>
      <c r="H460" s="2" t="str">
        <f>IF(quick_commerce_orders[[#This Row],[order_value]]&lt;500,"Low",IF(quick_commerce_orders[[#This Row],[order_value]]&gt;1500,"High","Moderate"))</f>
        <v>High</v>
      </c>
      <c r="I4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60" s="2" t="s">
        <v>28</v>
      </c>
      <c r="K460" s="2" t="s">
        <v>16</v>
      </c>
    </row>
    <row r="461" spans="1:11" x14ac:dyDescent="0.2">
      <c r="A461" s="2" t="s">
        <v>937</v>
      </c>
      <c r="B461" s="2" t="s">
        <v>938</v>
      </c>
      <c r="C461" s="2" t="s">
        <v>31</v>
      </c>
      <c r="D461" s="3">
        <v>46145.692326388889</v>
      </c>
      <c r="E461" s="3">
        <v>46145.71802083333</v>
      </c>
      <c r="F461" s="9">
        <f>IF($K461="cancelled"," ",(quick_commerce_orders[[#This Row],[delivery_time]]-quick_commerce_orders[[#This Row],[order_time]])*1440)</f>
        <v>36.999999994877726</v>
      </c>
      <c r="G461" s="2">
        <v>1281.01</v>
      </c>
      <c r="H461" s="2" t="str">
        <f>IF(quick_commerce_orders[[#This Row],[order_value]]&lt;500,"Low",IF(quick_commerce_orders[[#This Row],[order_value]]&gt;1500,"High","Moderate"))</f>
        <v>Moderate</v>
      </c>
      <c r="I4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61" s="2" t="s">
        <v>80</v>
      </c>
      <c r="K461" s="2" t="s">
        <v>12</v>
      </c>
    </row>
    <row r="462" spans="1:11" x14ac:dyDescent="0.2">
      <c r="A462" s="2" t="s">
        <v>939</v>
      </c>
      <c r="B462" s="2" t="s">
        <v>940</v>
      </c>
      <c r="C462" s="2" t="s">
        <v>31</v>
      </c>
      <c r="D462" s="3">
        <v>46152.15865740741</v>
      </c>
      <c r="E462" s="3">
        <v>46152.169768518521</v>
      </c>
      <c r="F462" s="9">
        <f>IF($K462="cancelled"," ",(quick_commerce_orders[[#This Row],[delivery_time]]-quick_commerce_orders[[#This Row],[order_time]])*1440)</f>
        <v>15.999999999767169</v>
      </c>
      <c r="G462" s="2">
        <v>530.78</v>
      </c>
      <c r="H462" s="2" t="str">
        <f>IF(quick_commerce_orders[[#This Row],[order_value]]&lt;500,"Low",IF(quick_commerce_orders[[#This Row],[order_value]]&gt;1500,"High","Moderate"))</f>
        <v>Moderate</v>
      </c>
      <c r="I4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62" s="2" t="s">
        <v>80</v>
      </c>
      <c r="K462" s="2" t="s">
        <v>16</v>
      </c>
    </row>
    <row r="463" spans="1:11" x14ac:dyDescent="0.2">
      <c r="A463" s="2" t="s">
        <v>941</v>
      </c>
      <c r="B463" s="2" t="s">
        <v>942</v>
      </c>
      <c r="C463" s="2" t="s">
        <v>75</v>
      </c>
      <c r="D463" s="3">
        <v>46154.217951388891</v>
      </c>
      <c r="E463" s="3">
        <v>46154.226284722223</v>
      </c>
      <c r="F463" s="9">
        <f>IF($K463="cancelled"," ",(quick_commerce_orders[[#This Row],[delivery_time]]-quick_commerce_orders[[#This Row],[order_time]])*1440)</f>
        <v>11.999999997206032</v>
      </c>
      <c r="G463" s="2">
        <v>1561.57</v>
      </c>
      <c r="H463" s="2" t="str">
        <f>IF(quick_commerce_orders[[#This Row],[order_value]]&lt;500,"Low",IF(quick_commerce_orders[[#This Row],[order_value]]&gt;1500,"High","Moderate"))</f>
        <v>High</v>
      </c>
      <c r="I4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63" s="2" t="s">
        <v>20</v>
      </c>
      <c r="K463" s="2" t="s">
        <v>16</v>
      </c>
    </row>
    <row r="464" spans="1:11" x14ac:dyDescent="0.2">
      <c r="A464" s="2" t="s">
        <v>943</v>
      </c>
      <c r="B464" s="2" t="s">
        <v>944</v>
      </c>
      <c r="C464" s="2" t="s">
        <v>19</v>
      </c>
      <c r="D464" s="3">
        <v>46155.168368055558</v>
      </c>
      <c r="E464" s="3">
        <v>46155.182256944441</v>
      </c>
      <c r="F464" s="9">
        <f>IF($K464="cancelled"," ",(quick_commerce_orders[[#This Row],[delivery_time]]-quick_commerce_orders[[#This Row],[order_time]])*1440)</f>
        <v>19.999999991850927</v>
      </c>
      <c r="G464" s="2">
        <v>1799.61</v>
      </c>
      <c r="H464" s="2" t="str">
        <f>IF(quick_commerce_orders[[#This Row],[order_value]]&lt;500,"Low",IF(quick_commerce_orders[[#This Row],[order_value]]&gt;1500,"High","Moderate"))</f>
        <v>High</v>
      </c>
      <c r="I4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64" s="2" t="s">
        <v>28</v>
      </c>
      <c r="K464" s="2" t="s">
        <v>16</v>
      </c>
    </row>
    <row r="465" spans="1:11" x14ac:dyDescent="0.2">
      <c r="A465" s="2" t="s">
        <v>945</v>
      </c>
      <c r="B465" s="2" t="s">
        <v>946</v>
      </c>
      <c r="C465" s="2" t="s">
        <v>19</v>
      </c>
      <c r="D465" s="3">
        <v>46148.893888888888</v>
      </c>
      <c r="E465" s="3">
        <v>46148.900833333333</v>
      </c>
      <c r="F465" s="9">
        <f>IF($K465="cancelled"," ",(quick_commerce_orders[[#This Row],[delivery_time]]-quick_commerce_orders[[#This Row],[order_time]])*1440)</f>
        <v>10.000000001164153</v>
      </c>
      <c r="G465" s="2">
        <v>2449.2199999999998</v>
      </c>
      <c r="H465" s="2" t="str">
        <f>IF(quick_commerce_orders[[#This Row],[order_value]]&lt;500,"Low",IF(quick_commerce_orders[[#This Row],[order_value]]&gt;1500,"High","Moderate"))</f>
        <v>High</v>
      </c>
      <c r="I4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65" s="2" t="s">
        <v>15</v>
      </c>
      <c r="K465" s="2" t="s">
        <v>16</v>
      </c>
    </row>
    <row r="466" spans="1:11" x14ac:dyDescent="0.2">
      <c r="A466" s="2" t="s">
        <v>947</v>
      </c>
      <c r="B466" s="2" t="s">
        <v>948</v>
      </c>
      <c r="C466" s="2" t="s">
        <v>31</v>
      </c>
      <c r="D466" s="3">
        <v>46152.80300925926</v>
      </c>
      <c r="E466" s="3">
        <v>46152.83425925926</v>
      </c>
      <c r="F466" s="9">
        <f>IF($K466="cancelled"," ",(quick_commerce_orders[[#This Row],[delivery_time]]-quick_commerce_orders[[#This Row],[order_time]])*1440)</f>
        <v>45</v>
      </c>
      <c r="G466" s="2">
        <v>102.79</v>
      </c>
      <c r="H466" s="2" t="str">
        <f>IF(quick_commerce_orders[[#This Row],[order_value]]&lt;500,"Low",IF(quick_commerce_orders[[#This Row],[order_value]]&gt;1500,"High","Moderate"))</f>
        <v>Low</v>
      </c>
      <c r="I4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66" s="2" t="s">
        <v>28</v>
      </c>
      <c r="K466" s="2" t="s">
        <v>12</v>
      </c>
    </row>
    <row r="467" spans="1:11" x14ac:dyDescent="0.2">
      <c r="A467" s="2" t="s">
        <v>949</v>
      </c>
      <c r="B467" s="2" t="s">
        <v>950</v>
      </c>
      <c r="C467" s="2" t="s">
        <v>27</v>
      </c>
      <c r="D467" s="3">
        <v>46147.100405092591</v>
      </c>
      <c r="E467" s="3">
        <v>46147.108043981483</v>
      </c>
      <c r="F467" s="9">
        <f>IF($K467="cancelled"," ",(quick_commerce_orders[[#This Row],[delivery_time]]-quick_commerce_orders[[#This Row],[order_time]])*1440)</f>
        <v>11.000000004423782</v>
      </c>
      <c r="G467" s="2">
        <v>156.57</v>
      </c>
      <c r="H467" s="2" t="str">
        <f>IF(quick_commerce_orders[[#This Row],[order_value]]&lt;500,"Low",IF(quick_commerce_orders[[#This Row],[order_value]]&gt;1500,"High","Moderate"))</f>
        <v>Low</v>
      </c>
      <c r="I4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67" s="2" t="s">
        <v>11</v>
      </c>
      <c r="K467" s="2" t="s">
        <v>16</v>
      </c>
    </row>
    <row r="468" spans="1:11" x14ac:dyDescent="0.2">
      <c r="A468" s="2" t="s">
        <v>951</v>
      </c>
      <c r="B468" s="2" t="s">
        <v>952</v>
      </c>
      <c r="C468" s="2" t="s">
        <v>31</v>
      </c>
      <c r="D468" s="3">
        <v>46168.72284722222</v>
      </c>
      <c r="E468" s="3">
        <v>46168.728402777779</v>
      </c>
      <c r="F468" s="9">
        <f>IF($K468="cancelled"," ",(quick_commerce_orders[[#This Row],[delivery_time]]-quick_commerce_orders[[#This Row],[order_time]])*1440)</f>
        <v>8.0000000051222742</v>
      </c>
      <c r="G468" s="2">
        <v>1600.11</v>
      </c>
      <c r="H468" s="2" t="str">
        <f>IF(quick_commerce_orders[[#This Row],[order_value]]&lt;500,"Low",IF(quick_commerce_orders[[#This Row],[order_value]]&gt;1500,"High","Moderate"))</f>
        <v>High</v>
      </c>
      <c r="I4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68" s="2" t="s">
        <v>15</v>
      </c>
      <c r="K468" s="2" t="s">
        <v>16</v>
      </c>
    </row>
    <row r="469" spans="1:11" x14ac:dyDescent="0.2">
      <c r="A469" s="2" t="s">
        <v>953</v>
      </c>
      <c r="B469" s="2" t="s">
        <v>954</v>
      </c>
      <c r="C469" s="2" t="s">
        <v>53</v>
      </c>
      <c r="D469" s="3">
        <v>46160.687476851854</v>
      </c>
      <c r="E469" s="3">
        <v>46160.716643518521</v>
      </c>
      <c r="F469" s="9">
        <f>IF($K469="cancelled"," ",(quick_commerce_orders[[#This Row],[delivery_time]]-quick_commerce_orders[[#This Row],[order_time]])*1440)</f>
        <v>42.000000000698492</v>
      </c>
      <c r="G469" s="2">
        <v>382.02</v>
      </c>
      <c r="H469" s="2" t="str">
        <f>IF(quick_commerce_orders[[#This Row],[order_value]]&lt;500,"Low",IF(quick_commerce_orders[[#This Row],[order_value]]&gt;1500,"High","Moderate"))</f>
        <v>Low</v>
      </c>
      <c r="I4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69" s="2" t="s">
        <v>80</v>
      </c>
      <c r="K469" s="2" t="s">
        <v>12</v>
      </c>
    </row>
    <row r="470" spans="1:11" x14ac:dyDescent="0.2">
      <c r="A470" s="2" t="s">
        <v>955</v>
      </c>
      <c r="B470" s="2" t="s">
        <v>956</v>
      </c>
      <c r="C470" s="2" t="s">
        <v>31</v>
      </c>
      <c r="D470" s="3">
        <v>46143.944178240738</v>
      </c>
      <c r="E470" s="3">
        <v>46143.951122685183</v>
      </c>
      <c r="F470" s="9">
        <f>IF($K470="cancelled"," ",(quick_commerce_orders[[#This Row],[delivery_time]]-quick_commerce_orders[[#This Row],[order_time]])*1440)</f>
        <v>10.000000001164153</v>
      </c>
      <c r="G470" s="2">
        <v>2134.37</v>
      </c>
      <c r="H470" s="2" t="str">
        <f>IF(quick_commerce_orders[[#This Row],[order_value]]&lt;500,"Low",IF(quick_commerce_orders[[#This Row],[order_value]]&gt;1500,"High","Moderate"))</f>
        <v>High</v>
      </c>
      <c r="I4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70" s="2" t="s">
        <v>28</v>
      </c>
      <c r="K470" s="2" t="s">
        <v>16</v>
      </c>
    </row>
    <row r="471" spans="1:11" x14ac:dyDescent="0.2">
      <c r="A471" s="2" t="s">
        <v>957</v>
      </c>
      <c r="B471" s="2" t="s">
        <v>958</v>
      </c>
      <c r="C471" s="2" t="s">
        <v>53</v>
      </c>
      <c r="D471" s="3">
        <v>46169.143159722225</v>
      </c>
      <c r="E471" s="3">
        <v>46169.154270833336</v>
      </c>
      <c r="F471" s="9">
        <f>IF($K471="cancelled"," ",(quick_commerce_orders[[#This Row],[delivery_time]]-quick_commerce_orders[[#This Row],[order_time]])*1440)</f>
        <v>15.999999999767169</v>
      </c>
      <c r="G471" s="2">
        <v>2017.95</v>
      </c>
      <c r="H471" s="2" t="str">
        <f>IF(quick_commerce_orders[[#This Row],[order_value]]&lt;500,"Low",IF(quick_commerce_orders[[#This Row],[order_value]]&gt;1500,"High","Moderate"))</f>
        <v>High</v>
      </c>
      <c r="I4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71" s="2" t="s">
        <v>28</v>
      </c>
      <c r="K471" s="2" t="s">
        <v>16</v>
      </c>
    </row>
    <row r="472" spans="1:11" x14ac:dyDescent="0.2">
      <c r="A472" s="2" t="s">
        <v>959</v>
      </c>
      <c r="B472" s="2" t="s">
        <v>960</v>
      </c>
      <c r="C472" s="2" t="s">
        <v>19</v>
      </c>
      <c r="D472" s="3">
        <v>46152.776122685187</v>
      </c>
      <c r="E472" s="3">
        <v>46152.787928240738</v>
      </c>
      <c r="F472" s="9">
        <f>IF($K472="cancelled"," ",(quick_commerce_orders[[#This Row],[delivery_time]]-quick_commerce_orders[[#This Row],[order_time]])*1440)</f>
        <v>16.999999992549419</v>
      </c>
      <c r="G472" s="2">
        <v>2496.5700000000002</v>
      </c>
      <c r="H472" s="2" t="str">
        <f>IF(quick_commerce_orders[[#This Row],[order_value]]&lt;500,"Low",IF(quick_commerce_orders[[#This Row],[order_value]]&gt;1500,"High","Moderate"))</f>
        <v>High</v>
      </c>
      <c r="I4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72" s="2" t="s">
        <v>11</v>
      </c>
      <c r="K472" s="2" t="s">
        <v>16</v>
      </c>
    </row>
    <row r="473" spans="1:11" x14ac:dyDescent="0.2">
      <c r="A473" s="2" t="s">
        <v>961</v>
      </c>
      <c r="B473" s="2" t="s">
        <v>962</v>
      </c>
      <c r="C473" s="2" t="s">
        <v>75</v>
      </c>
      <c r="D473" s="3">
        <v>46149.150567129633</v>
      </c>
      <c r="E473" s="3">
        <v>46149.160983796297</v>
      </c>
      <c r="F473" s="9">
        <f>IF($K473="cancelled"," ",(quick_commerce_orders[[#This Row],[delivery_time]]-quick_commerce_orders[[#This Row],[order_time]])*1440)</f>
        <v>14.99999999650754</v>
      </c>
      <c r="G473" s="2">
        <v>1092.7</v>
      </c>
      <c r="H473" s="2" t="str">
        <f>IF(quick_commerce_orders[[#This Row],[order_value]]&lt;500,"Low",IF(quick_commerce_orders[[#This Row],[order_value]]&gt;1500,"High","Moderate"))</f>
        <v>Moderate</v>
      </c>
      <c r="I4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73" s="2" t="s">
        <v>11</v>
      </c>
      <c r="K473" s="2" t="s">
        <v>16</v>
      </c>
    </row>
    <row r="474" spans="1:11" x14ac:dyDescent="0.2">
      <c r="A474" s="2" t="s">
        <v>963</v>
      </c>
      <c r="B474" s="2" t="s">
        <v>964</v>
      </c>
      <c r="C474" s="2" t="s">
        <v>75</v>
      </c>
      <c r="D474" s="3">
        <v>46149.413587962961</v>
      </c>
      <c r="E474" s="3">
        <v>46149.439976851849</v>
      </c>
      <c r="F474" s="9">
        <f>IF($K474="cancelled"," ",(quick_commerce_orders[[#This Row],[delivery_time]]-quick_commerce_orders[[#This Row],[order_time]])*1440)</f>
        <v>37.999999998137355</v>
      </c>
      <c r="G474" s="2">
        <v>900.1</v>
      </c>
      <c r="H474" s="2" t="str">
        <f>IF(quick_commerce_orders[[#This Row],[order_value]]&lt;500,"Low",IF(quick_commerce_orders[[#This Row],[order_value]]&gt;1500,"High","Moderate"))</f>
        <v>Moderate</v>
      </c>
      <c r="I4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74" s="2" t="s">
        <v>11</v>
      </c>
      <c r="K474" s="2" t="s">
        <v>12</v>
      </c>
    </row>
    <row r="475" spans="1:11" x14ac:dyDescent="0.2">
      <c r="A475" s="2" t="s">
        <v>965</v>
      </c>
      <c r="B475" s="2" t="s">
        <v>966</v>
      </c>
      <c r="C475" s="2" t="s">
        <v>42</v>
      </c>
      <c r="D475" s="3">
        <v>46165.553055555552</v>
      </c>
      <c r="E475" s="3">
        <v>46165.566250000003</v>
      </c>
      <c r="F475" s="9">
        <f>IF($K475="cancelled"," ",(quick_commerce_orders[[#This Row],[delivery_time]]-quick_commerce_orders[[#This Row],[order_time]])*1440)</f>
        <v>19.000000009546056</v>
      </c>
      <c r="G475" s="2">
        <v>1444</v>
      </c>
      <c r="H475" s="2" t="str">
        <f>IF(quick_commerce_orders[[#This Row],[order_value]]&lt;500,"Low",IF(quick_commerce_orders[[#This Row],[order_value]]&gt;1500,"High","Moderate"))</f>
        <v>Moderate</v>
      </c>
      <c r="I4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75" s="2" t="s">
        <v>28</v>
      </c>
      <c r="K475" s="2" t="s">
        <v>16</v>
      </c>
    </row>
    <row r="476" spans="1:11" x14ac:dyDescent="0.2">
      <c r="A476" s="2" t="s">
        <v>967</v>
      </c>
      <c r="B476" s="2" t="s">
        <v>968</v>
      </c>
      <c r="C476" s="2" t="s">
        <v>31</v>
      </c>
      <c r="D476" s="3">
        <v>46174.776736111111</v>
      </c>
      <c r="E476" s="3">
        <v>46174.782986111109</v>
      </c>
      <c r="F476" s="9">
        <f>IF($K476="cancelled"," ",(quick_commerce_orders[[#This Row],[delivery_time]]-quick_commerce_orders[[#This Row],[order_time]])*1440)</f>
        <v>8.9999999979045242</v>
      </c>
      <c r="G476" s="2">
        <v>1629.01</v>
      </c>
      <c r="H476" s="2" t="str">
        <f>IF(quick_commerce_orders[[#This Row],[order_value]]&lt;500,"Low",IF(quick_commerce_orders[[#This Row],[order_value]]&gt;1500,"High","Moderate"))</f>
        <v>High</v>
      </c>
      <c r="I4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76" s="2" t="s">
        <v>28</v>
      </c>
      <c r="K476" s="2" t="s">
        <v>16</v>
      </c>
    </row>
    <row r="477" spans="1:11" x14ac:dyDescent="0.2">
      <c r="A477" s="2" t="s">
        <v>969</v>
      </c>
      <c r="B477" s="2" t="s">
        <v>970</v>
      </c>
      <c r="C477" s="2" t="s">
        <v>53</v>
      </c>
      <c r="D477" s="3">
        <v>46145.22042824074</v>
      </c>
      <c r="E477" s="3">
        <v>46145.234317129631</v>
      </c>
      <c r="F477" s="9">
        <f>IF($K477="cancelled"," ",(quick_commerce_orders[[#This Row],[delivery_time]]-quick_commerce_orders[[#This Row],[order_time]])*1440)</f>
        <v>20.000000002328306</v>
      </c>
      <c r="G477" s="2">
        <v>126.11</v>
      </c>
      <c r="H477" s="2" t="str">
        <f>IF(quick_commerce_orders[[#This Row],[order_value]]&lt;500,"Low",IF(quick_commerce_orders[[#This Row],[order_value]]&gt;1500,"High","Moderate"))</f>
        <v>Low</v>
      </c>
      <c r="I4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77" s="2" t="s">
        <v>28</v>
      </c>
      <c r="K477" s="2" t="s">
        <v>16</v>
      </c>
    </row>
    <row r="478" spans="1:11" x14ac:dyDescent="0.2">
      <c r="A478" s="2" t="s">
        <v>971</v>
      </c>
      <c r="B478" s="2" t="s">
        <v>972</v>
      </c>
      <c r="C478" s="2" t="s">
        <v>42</v>
      </c>
      <c r="D478" s="3">
        <v>46152.818553240744</v>
      </c>
      <c r="E478" s="3">
        <v>46152.828969907408</v>
      </c>
      <c r="F478" s="9">
        <f>IF($K478="cancelled"," ",(quick_commerce_orders[[#This Row],[delivery_time]]-quick_commerce_orders[[#This Row],[order_time]])*1440)</f>
        <v>14.99999999650754</v>
      </c>
      <c r="G478" s="2">
        <v>581.85</v>
      </c>
      <c r="H478" s="2" t="str">
        <f>IF(quick_commerce_orders[[#This Row],[order_value]]&lt;500,"Low",IF(quick_commerce_orders[[#This Row],[order_value]]&gt;1500,"High","Moderate"))</f>
        <v>Moderate</v>
      </c>
      <c r="I4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78" s="2" t="s">
        <v>39</v>
      </c>
      <c r="K478" s="2" t="s">
        <v>16</v>
      </c>
    </row>
    <row r="479" spans="1:11" x14ac:dyDescent="0.2">
      <c r="A479" s="2" t="s">
        <v>973</v>
      </c>
      <c r="B479" s="2" t="s">
        <v>974</v>
      </c>
      <c r="C479" s="2" t="s">
        <v>31</v>
      </c>
      <c r="D479" s="3">
        <v>46168.059675925928</v>
      </c>
      <c r="E479" s="3">
        <v>46168.073564814818</v>
      </c>
      <c r="F479" s="9">
        <f>IF($K479="cancelled"," ",(quick_commerce_orders[[#This Row],[delivery_time]]-quick_commerce_orders[[#This Row],[order_time]])*1440)</f>
        <v>20.000000002328306</v>
      </c>
      <c r="G479" s="2">
        <v>774.9</v>
      </c>
      <c r="H479" s="2" t="str">
        <f>IF(quick_commerce_orders[[#This Row],[order_value]]&lt;500,"Low",IF(quick_commerce_orders[[#This Row],[order_value]]&gt;1500,"High","Moderate"))</f>
        <v>Moderate</v>
      </c>
      <c r="I4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79" s="2" t="s">
        <v>39</v>
      </c>
      <c r="K479" s="2" t="s">
        <v>16</v>
      </c>
    </row>
    <row r="480" spans="1:11" x14ac:dyDescent="0.2">
      <c r="A480" s="2" t="s">
        <v>975</v>
      </c>
      <c r="B480" s="2" t="s">
        <v>976</v>
      </c>
      <c r="C480" s="2" t="s">
        <v>75</v>
      </c>
      <c r="D480" s="3">
        <v>46164.927118055559</v>
      </c>
      <c r="E480" s="3">
        <v>46164.939618055556</v>
      </c>
      <c r="F480" s="9">
        <f>IF($K480="cancelled"," ",(quick_commerce_orders[[#This Row],[delivery_time]]-quick_commerce_orders[[#This Row],[order_time]])*1440)</f>
        <v>17.999999995809048</v>
      </c>
      <c r="G480" s="2">
        <v>1995.47</v>
      </c>
      <c r="H480" s="2" t="str">
        <f>IF(quick_commerce_orders[[#This Row],[order_value]]&lt;500,"Low",IF(quick_commerce_orders[[#This Row],[order_value]]&gt;1500,"High","Moderate"))</f>
        <v>High</v>
      </c>
      <c r="I4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80" s="2" t="s">
        <v>80</v>
      </c>
      <c r="K480" s="2" t="s">
        <v>16</v>
      </c>
    </row>
    <row r="481" spans="1:11" x14ac:dyDescent="0.2">
      <c r="A481" s="2" t="s">
        <v>977</v>
      </c>
      <c r="B481" s="2" t="s">
        <v>978</v>
      </c>
      <c r="C481" s="2" t="s">
        <v>19</v>
      </c>
      <c r="D481" s="3">
        <v>46173.373182870368</v>
      </c>
      <c r="E481" s="3">
        <v>46173.384988425925</v>
      </c>
      <c r="F481" s="9">
        <f>IF($K481="cancelled"," ",(quick_commerce_orders[[#This Row],[delivery_time]]-quick_commerce_orders[[#This Row],[order_time]])*1440)</f>
        <v>17.000000003026798</v>
      </c>
      <c r="G481" s="2">
        <v>837.65</v>
      </c>
      <c r="H481" s="2" t="str">
        <f>IF(quick_commerce_orders[[#This Row],[order_value]]&lt;500,"Low",IF(quick_commerce_orders[[#This Row],[order_value]]&gt;1500,"High","Moderate"))</f>
        <v>Moderate</v>
      </c>
      <c r="I4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81" s="2" t="s">
        <v>15</v>
      </c>
      <c r="K481" s="2" t="s">
        <v>16</v>
      </c>
    </row>
    <row r="482" spans="1:11" x14ac:dyDescent="0.2">
      <c r="A482" s="2" t="s">
        <v>979</v>
      </c>
      <c r="B482" s="2" t="s">
        <v>980</v>
      </c>
      <c r="C482" s="2" t="s">
        <v>42</v>
      </c>
      <c r="D482" s="3">
        <v>46144.453356481485</v>
      </c>
      <c r="E482" s="3">
        <v>46144.459606481483</v>
      </c>
      <c r="F482" s="9">
        <f>IF($K482="cancelled"," ",(quick_commerce_orders[[#This Row],[delivery_time]]-quick_commerce_orders[[#This Row],[order_time]])*1440)</f>
        <v>8.9999999979045242</v>
      </c>
      <c r="G482" s="2">
        <v>1315.06</v>
      </c>
      <c r="H482" s="2" t="str">
        <f>IF(quick_commerce_orders[[#This Row],[order_value]]&lt;500,"Low",IF(quick_commerce_orders[[#This Row],[order_value]]&gt;1500,"High","Moderate"))</f>
        <v>Moderate</v>
      </c>
      <c r="I4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82" s="2" t="s">
        <v>28</v>
      </c>
      <c r="K482" s="2" t="s">
        <v>16</v>
      </c>
    </row>
    <row r="483" spans="1:11" x14ac:dyDescent="0.2">
      <c r="A483" s="2" t="s">
        <v>981</v>
      </c>
      <c r="B483" s="2" t="s">
        <v>982</v>
      </c>
      <c r="C483" s="2" t="s">
        <v>53</v>
      </c>
      <c r="D483" s="3">
        <v>46162.387418981481</v>
      </c>
      <c r="E483" s="3">
        <v>46162.394363425927</v>
      </c>
      <c r="F483" s="9">
        <f>IF($K483="cancelled"," ",(quick_commerce_orders[[#This Row],[delivery_time]]-quick_commerce_orders[[#This Row],[order_time]])*1440)</f>
        <v>10.000000001164153</v>
      </c>
      <c r="G483" s="2">
        <v>876.42</v>
      </c>
      <c r="H483" s="2" t="str">
        <f>IF(quick_commerce_orders[[#This Row],[order_value]]&lt;500,"Low",IF(quick_commerce_orders[[#This Row],[order_value]]&gt;1500,"High","Moderate"))</f>
        <v>Moderate</v>
      </c>
      <c r="I4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83" s="2" t="s">
        <v>20</v>
      </c>
      <c r="K483" s="2" t="s">
        <v>16</v>
      </c>
    </row>
    <row r="484" spans="1:11" x14ac:dyDescent="0.2">
      <c r="A484" s="2" t="s">
        <v>983</v>
      </c>
      <c r="B484" s="2" t="s">
        <v>984</v>
      </c>
      <c r="C484" s="2" t="s">
        <v>75</v>
      </c>
      <c r="D484" s="3">
        <v>46174.946597222224</v>
      </c>
      <c r="E484" s="3">
        <v>46174.957708333335</v>
      </c>
      <c r="F484" s="9">
        <f>IF($K484="cancelled"," ",(quick_commerce_orders[[#This Row],[delivery_time]]-quick_commerce_orders[[#This Row],[order_time]])*1440)</f>
        <v>15.999999999767169</v>
      </c>
      <c r="G484" s="2">
        <v>113.72</v>
      </c>
      <c r="H484" s="2" t="str">
        <f>IF(quick_commerce_orders[[#This Row],[order_value]]&lt;500,"Low",IF(quick_commerce_orders[[#This Row],[order_value]]&gt;1500,"High","Moderate"))</f>
        <v>Low</v>
      </c>
      <c r="I4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84" s="2" t="s">
        <v>80</v>
      </c>
      <c r="K484" s="2" t="s">
        <v>16</v>
      </c>
    </row>
    <row r="485" spans="1:11" x14ac:dyDescent="0.2">
      <c r="A485" s="2" t="s">
        <v>985</v>
      </c>
      <c r="B485" s="2" t="s">
        <v>986</v>
      </c>
      <c r="C485" s="2" t="s">
        <v>19</v>
      </c>
      <c r="D485" s="3">
        <v>46157.180405092593</v>
      </c>
      <c r="E485" s="3">
        <v>46157.190127314818</v>
      </c>
      <c r="F485" s="9">
        <f>IF($K485="cancelled"," ",(quick_commerce_orders[[#This Row],[delivery_time]]-quick_commerce_orders[[#This Row],[order_time]])*1440)</f>
        <v>14.00000000372529</v>
      </c>
      <c r="G485" s="2">
        <v>1745.01</v>
      </c>
      <c r="H485" s="2" t="str">
        <f>IF(quick_commerce_orders[[#This Row],[order_value]]&lt;500,"Low",IF(quick_commerce_orders[[#This Row],[order_value]]&gt;1500,"High","Moderate"))</f>
        <v>High</v>
      </c>
      <c r="I4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85" s="2" t="s">
        <v>80</v>
      </c>
      <c r="K485" s="2" t="s">
        <v>16</v>
      </c>
    </row>
    <row r="486" spans="1:11" x14ac:dyDescent="0.2">
      <c r="A486" s="2" t="s">
        <v>987</v>
      </c>
      <c r="B486" s="2" t="s">
        <v>988</v>
      </c>
      <c r="C486" s="2" t="s">
        <v>31</v>
      </c>
      <c r="D486" s="3">
        <v>46171.42900462963</v>
      </c>
      <c r="E486" s="3">
        <v>46171.442893518521</v>
      </c>
      <c r="F486" s="9">
        <f>IF($K486="cancelled"," ",(quick_commerce_orders[[#This Row],[delivery_time]]-quick_commerce_orders[[#This Row],[order_time]])*1440)</f>
        <v>20.000000002328306</v>
      </c>
      <c r="G486" s="2">
        <v>918.27</v>
      </c>
      <c r="H486" s="2" t="str">
        <f>IF(quick_commerce_orders[[#This Row],[order_value]]&lt;500,"Low",IF(quick_commerce_orders[[#This Row],[order_value]]&gt;1500,"High","Moderate"))</f>
        <v>Moderate</v>
      </c>
      <c r="I4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86" s="2" t="s">
        <v>28</v>
      </c>
      <c r="K486" s="2" t="s">
        <v>16</v>
      </c>
    </row>
    <row r="487" spans="1:11" x14ac:dyDescent="0.2">
      <c r="A487" s="2" t="s">
        <v>989</v>
      </c>
      <c r="B487" s="2" t="s">
        <v>990</v>
      </c>
      <c r="C487" s="2" t="s">
        <v>42</v>
      </c>
      <c r="D487" s="3">
        <v>46169.820196759261</v>
      </c>
      <c r="E487" s="3">
        <v>46169.832696759258</v>
      </c>
      <c r="F487" s="9">
        <f>IF($K487="cancelled"," ",(quick_commerce_orders[[#This Row],[delivery_time]]-quick_commerce_orders[[#This Row],[order_time]])*1440)</f>
        <v>17.999999995809048</v>
      </c>
      <c r="G487" s="2">
        <v>1837.55</v>
      </c>
      <c r="H487" s="2" t="str">
        <f>IF(quick_commerce_orders[[#This Row],[order_value]]&lt;500,"Low",IF(quick_commerce_orders[[#This Row],[order_value]]&gt;1500,"High","Moderate"))</f>
        <v>High</v>
      </c>
      <c r="I4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87" s="2" t="s">
        <v>28</v>
      </c>
      <c r="K487" s="2" t="s">
        <v>16</v>
      </c>
    </row>
    <row r="488" spans="1:11" x14ac:dyDescent="0.2">
      <c r="A488" s="2" t="s">
        <v>991</v>
      </c>
      <c r="B488" s="2" t="s">
        <v>992</v>
      </c>
      <c r="C488" s="2" t="s">
        <v>53</v>
      </c>
      <c r="D488" s="3">
        <v>46155.593032407407</v>
      </c>
      <c r="E488" s="3">
        <v>46155.606921296298</v>
      </c>
      <c r="F488" s="9">
        <f>IF($K488="cancelled"," ",(quick_commerce_orders[[#This Row],[delivery_time]]-quick_commerce_orders[[#This Row],[order_time]])*1440)</f>
        <v>20.000000002328306</v>
      </c>
      <c r="G488" s="2">
        <v>1577.38</v>
      </c>
      <c r="H488" s="2" t="str">
        <f>IF(quick_commerce_orders[[#This Row],[order_value]]&lt;500,"Low",IF(quick_commerce_orders[[#This Row],[order_value]]&gt;1500,"High","Moderate"))</f>
        <v>High</v>
      </c>
      <c r="I4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88" s="2" t="s">
        <v>15</v>
      </c>
      <c r="K488" s="2" t="s">
        <v>16</v>
      </c>
    </row>
    <row r="489" spans="1:11" x14ac:dyDescent="0.2">
      <c r="A489" s="2" t="s">
        <v>993</v>
      </c>
      <c r="B489" s="2" t="s">
        <v>994</v>
      </c>
      <c r="C489" s="2" t="s">
        <v>19</v>
      </c>
      <c r="D489" s="3">
        <v>46169.980416666665</v>
      </c>
      <c r="E489" s="3">
        <v>46170.02</v>
      </c>
      <c r="F489" s="9">
        <f>IF($K489="cancelled"," ",(quick_commerce_orders[[#This Row],[delivery_time]]-quick_commerce_orders[[#This Row],[order_time]])*1440)</f>
        <v>56.999999997206032</v>
      </c>
      <c r="G489" s="2">
        <v>168.88</v>
      </c>
      <c r="H489" s="2" t="str">
        <f>IF(quick_commerce_orders[[#This Row],[order_value]]&lt;500,"Low",IF(quick_commerce_orders[[#This Row],[order_value]]&gt;1500,"High","Moderate"))</f>
        <v>Low</v>
      </c>
      <c r="I4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89" s="2" t="s">
        <v>11</v>
      </c>
      <c r="K489" s="2" t="s">
        <v>12</v>
      </c>
    </row>
    <row r="490" spans="1:11" x14ac:dyDescent="0.2">
      <c r="A490" s="2" t="s">
        <v>995</v>
      </c>
      <c r="B490" s="2" t="s">
        <v>996</v>
      </c>
      <c r="C490" s="2" t="s">
        <v>31</v>
      </c>
      <c r="D490" s="3">
        <v>46166.064467592594</v>
      </c>
      <c r="E490" s="3">
        <v>46166.073495370372</v>
      </c>
      <c r="F490" s="9">
        <f>IF($K490="cancelled"," ",(quick_commerce_orders[[#This Row],[delivery_time]]-quick_commerce_orders[[#This Row],[order_time]])*1440)</f>
        <v>13.000000000465661</v>
      </c>
      <c r="G490" s="2">
        <v>520.51</v>
      </c>
      <c r="H490" s="2" t="str">
        <f>IF(quick_commerce_orders[[#This Row],[order_value]]&lt;500,"Low",IF(quick_commerce_orders[[#This Row],[order_value]]&gt;1500,"High","Moderate"))</f>
        <v>Moderate</v>
      </c>
      <c r="I4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90" s="2" t="s">
        <v>39</v>
      </c>
      <c r="K490" s="2" t="s">
        <v>16</v>
      </c>
    </row>
    <row r="491" spans="1:11" x14ac:dyDescent="0.2">
      <c r="A491" s="2" t="s">
        <v>997</v>
      </c>
      <c r="B491" s="2" t="s">
        <v>998</v>
      </c>
      <c r="C491" s="2" t="s">
        <v>27</v>
      </c>
      <c r="D491" s="3">
        <v>46153.097048611111</v>
      </c>
      <c r="E491" s="3">
        <v>46153.107465277775</v>
      </c>
      <c r="F491" s="9">
        <f>IF($K491="cancelled"," ",(quick_commerce_orders[[#This Row],[delivery_time]]-quick_commerce_orders[[#This Row],[order_time]])*1440)</f>
        <v>14.99999999650754</v>
      </c>
      <c r="G491" s="2">
        <v>892.24</v>
      </c>
      <c r="H491" s="2" t="str">
        <f>IF(quick_commerce_orders[[#This Row],[order_value]]&lt;500,"Low",IF(quick_commerce_orders[[#This Row],[order_value]]&gt;1500,"High","Moderate"))</f>
        <v>Moderate</v>
      </c>
      <c r="I4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91" s="2" t="s">
        <v>11</v>
      </c>
      <c r="K491" s="2" t="s">
        <v>16</v>
      </c>
    </row>
    <row r="492" spans="1:11" x14ac:dyDescent="0.2">
      <c r="A492" s="2" t="s">
        <v>999</v>
      </c>
      <c r="B492" s="2" t="s">
        <v>1000</v>
      </c>
      <c r="C492" s="2" t="s">
        <v>31</v>
      </c>
      <c r="D492" s="3">
        <v>46168.201319444444</v>
      </c>
      <c r="E492" s="3">
        <v>46168.212430555555</v>
      </c>
      <c r="F492" s="9">
        <f>IF($K492="cancelled"," ",(quick_commerce_orders[[#This Row],[delivery_time]]-quick_commerce_orders[[#This Row],[order_time]])*1440)</f>
        <v>15.999999999767169</v>
      </c>
      <c r="G492" s="2">
        <v>910.05</v>
      </c>
      <c r="H492" s="2" t="str">
        <f>IF(quick_commerce_orders[[#This Row],[order_value]]&lt;500,"Low",IF(quick_commerce_orders[[#This Row],[order_value]]&gt;1500,"High","Moderate"))</f>
        <v>Moderate</v>
      </c>
      <c r="I4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92" s="2" t="s">
        <v>80</v>
      </c>
      <c r="K492" s="2" t="s">
        <v>16</v>
      </c>
    </row>
    <row r="493" spans="1:11" x14ac:dyDescent="0.2">
      <c r="A493" s="2" t="s">
        <v>1001</v>
      </c>
      <c r="B493" s="2" t="s">
        <v>1002</v>
      </c>
      <c r="C493" s="2" t="s">
        <v>75</v>
      </c>
      <c r="D493" s="3">
        <v>46144.217314814814</v>
      </c>
      <c r="E493" s="3">
        <v>46144.254814814813</v>
      </c>
      <c r="F493" s="9">
        <f>IF($K493="cancelled"," ",(quick_commerce_orders[[#This Row],[delivery_time]]-quick_commerce_orders[[#This Row],[order_time]])*1440)</f>
        <v>53.999999997904524</v>
      </c>
      <c r="G493" s="2">
        <v>1712.94</v>
      </c>
      <c r="H493" s="2" t="str">
        <f>IF(quick_commerce_orders[[#This Row],[order_value]]&lt;500,"Low",IF(quick_commerce_orders[[#This Row],[order_value]]&gt;1500,"High","Moderate"))</f>
        <v>High</v>
      </c>
      <c r="I4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93" s="2" t="s">
        <v>80</v>
      </c>
      <c r="K493" s="2" t="s">
        <v>12</v>
      </c>
    </row>
    <row r="494" spans="1:11" x14ac:dyDescent="0.2">
      <c r="A494" s="2" t="s">
        <v>1003</v>
      </c>
      <c r="B494" s="2" t="s">
        <v>1004</v>
      </c>
      <c r="C494" s="2" t="s">
        <v>42</v>
      </c>
      <c r="D494" s="3">
        <v>46155.052106481482</v>
      </c>
      <c r="E494" s="3">
        <v>46155.077106481483</v>
      </c>
      <c r="F494" s="9">
        <f>IF($K494="cancelled"," ",(quick_commerce_orders[[#This Row],[delivery_time]]-quick_commerce_orders[[#This Row],[order_time]])*1440)</f>
        <v>36.000000002095476</v>
      </c>
      <c r="G494" s="2">
        <v>2297.79</v>
      </c>
      <c r="H494" s="2" t="str">
        <f>IF(quick_commerce_orders[[#This Row],[order_value]]&lt;500,"Low",IF(quick_commerce_orders[[#This Row],[order_value]]&gt;1500,"High","Moderate"))</f>
        <v>High</v>
      </c>
      <c r="I4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94" s="2" t="s">
        <v>28</v>
      </c>
      <c r="K494" s="2" t="s">
        <v>12</v>
      </c>
    </row>
    <row r="495" spans="1:11" x14ac:dyDescent="0.2">
      <c r="A495" s="2" t="s">
        <v>1005</v>
      </c>
      <c r="B495" s="2" t="s">
        <v>1006</v>
      </c>
      <c r="C495" s="2" t="s">
        <v>10</v>
      </c>
      <c r="D495" s="3">
        <v>46172.08221064815</v>
      </c>
      <c r="E495" s="3">
        <v>46172.091238425928</v>
      </c>
      <c r="F495" s="9">
        <f>IF($K495="cancelled"," ",(quick_commerce_orders[[#This Row],[delivery_time]]-quick_commerce_orders[[#This Row],[order_time]])*1440)</f>
        <v>13.000000000465661</v>
      </c>
      <c r="G495" s="2">
        <v>2012.41</v>
      </c>
      <c r="H495" s="2" t="str">
        <f>IF(quick_commerce_orders[[#This Row],[order_value]]&lt;500,"Low",IF(quick_commerce_orders[[#This Row],[order_value]]&gt;1500,"High","Moderate"))</f>
        <v>High</v>
      </c>
      <c r="I4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495" s="2" t="s">
        <v>80</v>
      </c>
      <c r="K495" s="2" t="s">
        <v>16</v>
      </c>
    </row>
    <row r="496" spans="1:11" x14ac:dyDescent="0.2">
      <c r="A496" s="2" t="s">
        <v>1007</v>
      </c>
      <c r="B496" s="2" t="s">
        <v>1008</v>
      </c>
      <c r="C496" s="2" t="s">
        <v>31</v>
      </c>
      <c r="D496" s="3">
        <v>46155.349907407406</v>
      </c>
      <c r="E496" s="3">
        <v>46155.36310185185</v>
      </c>
      <c r="F496" s="9">
        <f>IF($K496="cancelled"," ",(quick_commerce_orders[[#This Row],[delivery_time]]-quick_commerce_orders[[#This Row],[order_time]])*1440)</f>
        <v>18.999999999068677</v>
      </c>
      <c r="G496" s="2">
        <v>1648.57</v>
      </c>
      <c r="H496" s="2" t="str">
        <f>IF(quick_commerce_orders[[#This Row],[order_value]]&lt;500,"Low",IF(quick_commerce_orders[[#This Row],[order_value]]&gt;1500,"High","Moderate"))</f>
        <v>High</v>
      </c>
      <c r="I4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496" s="2" t="s">
        <v>20</v>
      </c>
      <c r="K496" s="2" t="s">
        <v>16</v>
      </c>
    </row>
    <row r="497" spans="1:11" x14ac:dyDescent="0.2">
      <c r="A497" s="2" t="s">
        <v>1009</v>
      </c>
      <c r="B497" s="2" t="s">
        <v>1010</v>
      </c>
      <c r="C497" s="2" t="s">
        <v>34</v>
      </c>
      <c r="D497" s="3">
        <v>46172.684490740743</v>
      </c>
      <c r="E497" s="3">
        <v>46172.693518518521</v>
      </c>
      <c r="F497" s="9">
        <f>IF($K497="cancelled"," ",(quick_commerce_orders[[#This Row],[delivery_time]]-quick_commerce_orders[[#This Row],[order_time]])*1440)</f>
        <v>13.000000000465661</v>
      </c>
      <c r="G497" s="2">
        <v>1254.5899999999999</v>
      </c>
      <c r="H497" s="2" t="str">
        <f>IF(quick_commerce_orders[[#This Row],[order_value]]&lt;500,"Low",IF(quick_commerce_orders[[#This Row],[order_value]]&gt;1500,"High","Moderate"))</f>
        <v>Moderate</v>
      </c>
      <c r="I4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97" s="2" t="s">
        <v>15</v>
      </c>
      <c r="K497" s="2" t="s">
        <v>16</v>
      </c>
    </row>
    <row r="498" spans="1:11" x14ac:dyDescent="0.2">
      <c r="A498" s="2" t="s">
        <v>1011</v>
      </c>
      <c r="B498" s="2" t="s">
        <v>1012</v>
      </c>
      <c r="C498" s="2" t="s">
        <v>10</v>
      </c>
      <c r="D498" s="3">
        <v>46150.875868055555</v>
      </c>
      <c r="E498" s="3">
        <v>46150.886979166666</v>
      </c>
      <c r="F498" s="9">
        <f>IF($K498="cancelled"," ",(quick_commerce_orders[[#This Row],[delivery_time]]-quick_commerce_orders[[#This Row],[order_time]])*1440)</f>
        <v>15.999999999767169</v>
      </c>
      <c r="G498" s="2">
        <v>1604.28</v>
      </c>
      <c r="H498" s="2" t="str">
        <f>IF(quick_commerce_orders[[#This Row],[order_value]]&lt;500,"Low",IF(quick_commerce_orders[[#This Row],[order_value]]&gt;1500,"High","Moderate"))</f>
        <v>High</v>
      </c>
      <c r="I4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98" s="2" t="s">
        <v>28</v>
      </c>
      <c r="K498" s="2" t="s">
        <v>16</v>
      </c>
    </row>
    <row r="499" spans="1:11" x14ac:dyDescent="0.2">
      <c r="A499" s="2" t="s">
        <v>1013</v>
      </c>
      <c r="B499" s="2" t="s">
        <v>1014</v>
      </c>
      <c r="C499" s="2" t="s">
        <v>10</v>
      </c>
      <c r="D499" s="3">
        <v>46166.651712962965</v>
      </c>
      <c r="E499" s="3">
        <v>46166.664907407408</v>
      </c>
      <c r="F499" s="9">
        <f>IF($K499="cancelled"," ",(quick_commerce_orders[[#This Row],[delivery_time]]-quick_commerce_orders[[#This Row],[order_time]])*1440)</f>
        <v>18.999999999068677</v>
      </c>
      <c r="G499" s="2">
        <v>2239.94</v>
      </c>
      <c r="H499" s="2" t="str">
        <f>IF(quick_commerce_orders[[#This Row],[order_value]]&lt;500,"Low",IF(quick_commerce_orders[[#This Row],[order_value]]&gt;1500,"High","Moderate"))</f>
        <v>High</v>
      </c>
      <c r="I4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499" s="2" t="s">
        <v>15</v>
      </c>
      <c r="K499" s="2" t="s">
        <v>16</v>
      </c>
    </row>
    <row r="500" spans="1:11" x14ac:dyDescent="0.2">
      <c r="A500" s="2" t="s">
        <v>1015</v>
      </c>
      <c r="B500" s="2" t="s">
        <v>1016</v>
      </c>
      <c r="C500" s="2" t="s">
        <v>42</v>
      </c>
      <c r="D500" s="3">
        <v>46154.651099537034</v>
      </c>
      <c r="E500" s="3">
        <v>46154.661516203705</v>
      </c>
      <c r="F500" s="9">
        <f>IF($K500="cancelled"," ",(quick_commerce_orders[[#This Row],[delivery_time]]-quick_commerce_orders[[#This Row],[order_time]])*1440)</f>
        <v>15.000000006984919</v>
      </c>
      <c r="G500" s="2">
        <v>1387.72</v>
      </c>
      <c r="H500" s="2" t="str">
        <f>IF(quick_commerce_orders[[#This Row],[order_value]]&lt;500,"Low",IF(quick_commerce_orders[[#This Row],[order_value]]&gt;1500,"High","Moderate"))</f>
        <v>Moderate</v>
      </c>
      <c r="I5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00" s="2" t="s">
        <v>80</v>
      </c>
      <c r="K500" s="2" t="s">
        <v>16</v>
      </c>
    </row>
    <row r="501" spans="1:11" x14ac:dyDescent="0.2">
      <c r="A501" s="2" t="s">
        <v>1017</v>
      </c>
      <c r="B501" s="2" t="s">
        <v>1018</v>
      </c>
      <c r="C501" s="2" t="s">
        <v>42</v>
      </c>
      <c r="D501" s="3">
        <v>46165.465891203705</v>
      </c>
      <c r="E501" s="3">
        <v>46165.479085648149</v>
      </c>
      <c r="F501" s="9">
        <f>IF($K501="cancelled"," ",(quick_commerce_orders[[#This Row],[delivery_time]]-quick_commerce_orders[[#This Row],[order_time]])*1440)</f>
        <v>18.999999999068677</v>
      </c>
      <c r="G501" s="2">
        <v>903.26</v>
      </c>
      <c r="H501" s="2" t="str">
        <f>IF(quick_commerce_orders[[#This Row],[order_value]]&lt;500,"Low",IF(quick_commerce_orders[[#This Row],[order_value]]&gt;1500,"High","Moderate"))</f>
        <v>Moderate</v>
      </c>
      <c r="I5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01" s="2" t="s">
        <v>39</v>
      </c>
      <c r="K501" s="2" t="s">
        <v>16</v>
      </c>
    </row>
    <row r="502" spans="1:11" x14ac:dyDescent="0.2">
      <c r="A502" s="2" t="s">
        <v>1019</v>
      </c>
      <c r="B502" s="2" t="s">
        <v>1020</v>
      </c>
      <c r="C502" s="2" t="s">
        <v>53</v>
      </c>
      <c r="D502" s="3">
        <v>46159.995648148149</v>
      </c>
      <c r="E502" s="3">
        <v>46160.006064814814</v>
      </c>
      <c r="F502" s="9">
        <f>IF($K502="cancelled"," ",(quick_commerce_orders[[#This Row],[delivery_time]]-quick_commerce_orders[[#This Row],[order_time]])*1440)</f>
        <v>14.99999999650754</v>
      </c>
      <c r="G502" s="2">
        <v>1980.57</v>
      </c>
      <c r="H502" s="2" t="str">
        <f>IF(quick_commerce_orders[[#This Row],[order_value]]&lt;500,"Low",IF(quick_commerce_orders[[#This Row],[order_value]]&gt;1500,"High","Moderate"))</f>
        <v>High</v>
      </c>
      <c r="I5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02" s="2" t="s">
        <v>39</v>
      </c>
      <c r="K502" s="2" t="s">
        <v>16</v>
      </c>
    </row>
    <row r="503" spans="1:11" x14ac:dyDescent="0.2">
      <c r="A503" s="2" t="s">
        <v>1021</v>
      </c>
      <c r="B503" s="2" t="s">
        <v>1022</v>
      </c>
      <c r="C503" s="2" t="s">
        <v>75</v>
      </c>
      <c r="D503" s="3">
        <v>46148.375972222224</v>
      </c>
      <c r="E503" s="3">
        <v>46148.386388888888</v>
      </c>
      <c r="F503" s="9">
        <f>IF($K503="cancelled"," ",(quick_commerce_orders[[#This Row],[delivery_time]]-quick_commerce_orders[[#This Row],[order_time]])*1440)</f>
        <v>14.99999999650754</v>
      </c>
      <c r="G503" s="2">
        <v>1092.49</v>
      </c>
      <c r="H503" s="2" t="str">
        <f>IF(quick_commerce_orders[[#This Row],[order_value]]&lt;500,"Low",IF(quick_commerce_orders[[#This Row],[order_value]]&gt;1500,"High","Moderate"))</f>
        <v>Moderate</v>
      </c>
      <c r="I5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03" s="2" t="s">
        <v>20</v>
      </c>
      <c r="K503" s="2" t="s">
        <v>16</v>
      </c>
    </row>
    <row r="504" spans="1:11" x14ac:dyDescent="0.2">
      <c r="A504" s="2" t="s">
        <v>1023</v>
      </c>
      <c r="B504" s="2" t="s">
        <v>1024</v>
      </c>
      <c r="C504" s="2" t="s">
        <v>53</v>
      </c>
      <c r="D504" s="3">
        <v>46146.246249999997</v>
      </c>
      <c r="E504" s="3">
        <v>46146.254583333335</v>
      </c>
      <c r="F504" s="9">
        <f>IF($K504="cancelled"," ",(quick_commerce_orders[[#This Row],[delivery_time]]-quick_commerce_orders[[#This Row],[order_time]])*1440)</f>
        <v>12.000000007683411</v>
      </c>
      <c r="G504" s="2">
        <v>1881.2</v>
      </c>
      <c r="H504" s="2" t="str">
        <f>IF(quick_commerce_orders[[#This Row],[order_value]]&lt;500,"Low",IF(quick_commerce_orders[[#This Row],[order_value]]&gt;1500,"High","Moderate"))</f>
        <v>High</v>
      </c>
      <c r="I5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04" s="2" t="s">
        <v>20</v>
      </c>
      <c r="K504" s="2" t="s">
        <v>16</v>
      </c>
    </row>
    <row r="505" spans="1:11" x14ac:dyDescent="0.2">
      <c r="A505" s="2" t="s">
        <v>1025</v>
      </c>
      <c r="B505" s="2" t="s">
        <v>1026</v>
      </c>
      <c r="C505" s="2" t="s">
        <v>27</v>
      </c>
      <c r="D505" s="3">
        <v>46156.320300925923</v>
      </c>
      <c r="E505" s="3">
        <v>46156.332106481481</v>
      </c>
      <c r="F505" s="9">
        <f>IF($K505="cancelled"," ",(quick_commerce_orders[[#This Row],[delivery_time]]-quick_commerce_orders[[#This Row],[order_time]])*1440)</f>
        <v>17.000000003026798</v>
      </c>
      <c r="G505" s="2">
        <v>2103.25</v>
      </c>
      <c r="H505" s="2" t="str">
        <f>IF(quick_commerce_orders[[#This Row],[order_value]]&lt;500,"Low",IF(quick_commerce_orders[[#This Row],[order_value]]&gt;1500,"High","Moderate"))</f>
        <v>High</v>
      </c>
      <c r="I5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05" s="2" t="s">
        <v>28</v>
      </c>
      <c r="K505" s="2" t="s">
        <v>16</v>
      </c>
    </row>
    <row r="506" spans="1:11" x14ac:dyDescent="0.2">
      <c r="A506" s="2" t="s">
        <v>1027</v>
      </c>
      <c r="B506" s="2" t="s">
        <v>1028</v>
      </c>
      <c r="C506" s="2" t="s">
        <v>31</v>
      </c>
      <c r="D506" s="3">
        <v>46156.36210648148</v>
      </c>
      <c r="E506" s="3">
        <v>46156.371828703705</v>
      </c>
      <c r="F506" s="9">
        <f>IF($K506="cancelled"," ",(quick_commerce_orders[[#This Row],[delivery_time]]-quick_commerce_orders[[#This Row],[order_time]])*1440)</f>
        <v>14.00000000372529</v>
      </c>
      <c r="G506" s="2">
        <v>817.42</v>
      </c>
      <c r="H506" s="2" t="str">
        <f>IF(quick_commerce_orders[[#This Row],[order_value]]&lt;500,"Low",IF(quick_commerce_orders[[#This Row],[order_value]]&gt;1500,"High","Moderate"))</f>
        <v>Moderate</v>
      </c>
      <c r="I5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06" s="2" t="s">
        <v>20</v>
      </c>
      <c r="K506" s="2" t="s">
        <v>16</v>
      </c>
    </row>
    <row r="507" spans="1:11" x14ac:dyDescent="0.2">
      <c r="A507" s="2" t="s">
        <v>1029</v>
      </c>
      <c r="B507" s="2" t="s">
        <v>1030</v>
      </c>
      <c r="C507" s="2" t="s">
        <v>42</v>
      </c>
      <c r="D507" s="3">
        <v>46144.875347222223</v>
      </c>
      <c r="E507" s="3">
        <v>46144.88784722222</v>
      </c>
      <c r="F507" s="9">
        <f>IF($K507="cancelled"," ",(quick_commerce_orders[[#This Row],[delivery_time]]-quick_commerce_orders[[#This Row],[order_time]])*1440)</f>
        <v>17.999999995809048</v>
      </c>
      <c r="G507" s="2">
        <v>1838.91</v>
      </c>
      <c r="H507" s="2" t="str">
        <f>IF(quick_commerce_orders[[#This Row],[order_value]]&lt;500,"Low",IF(quick_commerce_orders[[#This Row],[order_value]]&gt;1500,"High","Moderate"))</f>
        <v>High</v>
      </c>
      <c r="I5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07" s="2" t="s">
        <v>80</v>
      </c>
      <c r="K507" s="2" t="s">
        <v>16</v>
      </c>
    </row>
    <row r="508" spans="1:11" x14ac:dyDescent="0.2">
      <c r="A508" s="2" t="s">
        <v>1031</v>
      </c>
      <c r="B508" s="2" t="s">
        <v>1032</v>
      </c>
      <c r="C508" s="2" t="s">
        <v>19</v>
      </c>
      <c r="D508" s="3">
        <v>46151.841412037036</v>
      </c>
      <c r="E508" s="3">
        <v>46151.855300925927</v>
      </c>
      <c r="F508" s="9">
        <f>IF($K508="cancelled"," ",(quick_commerce_orders[[#This Row],[delivery_time]]-quick_commerce_orders[[#This Row],[order_time]])*1440)</f>
        <v>20.000000002328306</v>
      </c>
      <c r="G508" s="2">
        <v>856.21</v>
      </c>
      <c r="H508" s="2" t="str">
        <f>IF(quick_commerce_orders[[#This Row],[order_value]]&lt;500,"Low",IF(quick_commerce_orders[[#This Row],[order_value]]&gt;1500,"High","Moderate"))</f>
        <v>Moderate</v>
      </c>
      <c r="I5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08" s="2" t="s">
        <v>28</v>
      </c>
      <c r="K508" s="2" t="s">
        <v>16</v>
      </c>
    </row>
    <row r="509" spans="1:11" x14ac:dyDescent="0.2">
      <c r="A509" s="2" t="s">
        <v>1033</v>
      </c>
      <c r="B509" s="2" t="s">
        <v>1034</v>
      </c>
      <c r="C509" s="2" t="s">
        <v>42</v>
      </c>
      <c r="D509" s="3">
        <v>46143.303217592591</v>
      </c>
      <c r="E509" s="3">
        <v>46143.315023148149</v>
      </c>
      <c r="F509" s="9">
        <f>IF($K509="cancelled"," ",(quick_commerce_orders[[#This Row],[delivery_time]]-quick_commerce_orders[[#This Row],[order_time]])*1440)</f>
        <v>17.000000003026798</v>
      </c>
      <c r="G509" s="2">
        <v>1385.13</v>
      </c>
      <c r="H509" s="2" t="str">
        <f>IF(quick_commerce_orders[[#This Row],[order_value]]&lt;500,"Low",IF(quick_commerce_orders[[#This Row],[order_value]]&gt;1500,"High","Moderate"))</f>
        <v>Moderate</v>
      </c>
      <c r="I5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09" s="2" t="s">
        <v>39</v>
      </c>
      <c r="K509" s="2" t="s">
        <v>16</v>
      </c>
    </row>
    <row r="510" spans="1:11" x14ac:dyDescent="0.2">
      <c r="A510" s="2" t="s">
        <v>1035</v>
      </c>
      <c r="B510" s="2" t="s">
        <v>1036</v>
      </c>
      <c r="C510" s="2" t="s">
        <v>42</v>
      </c>
      <c r="D510" s="3">
        <v>46162.948391203703</v>
      </c>
      <c r="E510" s="3">
        <v>46162.9608912037</v>
      </c>
      <c r="F510" s="9">
        <f>IF($K510="cancelled"," ",(quick_commerce_orders[[#This Row],[delivery_time]]-quick_commerce_orders[[#This Row],[order_time]])*1440)</f>
        <v>17.999999995809048</v>
      </c>
      <c r="G510" s="2">
        <v>598.83000000000004</v>
      </c>
      <c r="H510" s="2" t="str">
        <f>IF(quick_commerce_orders[[#This Row],[order_value]]&lt;500,"Low",IF(quick_commerce_orders[[#This Row],[order_value]]&gt;1500,"High","Moderate"))</f>
        <v>Moderate</v>
      </c>
      <c r="I5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10" s="2" t="s">
        <v>11</v>
      </c>
      <c r="K510" s="2" t="s">
        <v>16</v>
      </c>
    </row>
    <row r="511" spans="1:11" x14ac:dyDescent="0.2">
      <c r="A511" s="2" t="s">
        <v>1037</v>
      </c>
      <c r="B511" s="2" t="s">
        <v>1038</v>
      </c>
      <c r="C511" s="2" t="s">
        <v>42</v>
      </c>
      <c r="D511" s="3">
        <v>46160.58152777778</v>
      </c>
      <c r="E511" s="3">
        <v>46160.587083333332</v>
      </c>
      <c r="F511" s="9">
        <f>IF($K511="cancelled"," ",(quick_commerce_orders[[#This Row],[delivery_time]]-quick_commerce_orders[[#This Row],[order_time]])*1440)</f>
        <v>7.9999999946448952</v>
      </c>
      <c r="G511" s="2">
        <v>1744.18</v>
      </c>
      <c r="H511" s="2" t="str">
        <f>IF(quick_commerce_orders[[#This Row],[order_value]]&lt;500,"Low",IF(quick_commerce_orders[[#This Row],[order_value]]&gt;1500,"High","Moderate"))</f>
        <v>High</v>
      </c>
      <c r="I5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11" s="2" t="s">
        <v>15</v>
      </c>
      <c r="K511" s="2" t="s">
        <v>16</v>
      </c>
    </row>
    <row r="512" spans="1:11" x14ac:dyDescent="0.2">
      <c r="A512" s="2" t="s">
        <v>1039</v>
      </c>
      <c r="B512" s="2" t="s">
        <v>1040</v>
      </c>
      <c r="C512" s="2" t="s">
        <v>42</v>
      </c>
      <c r="D512" s="3">
        <v>46165.594594907408</v>
      </c>
      <c r="E512" s="3">
        <v>46165.602233796293</v>
      </c>
      <c r="F512" s="9">
        <f>IF($K512="cancelled"," ",(quick_commerce_orders[[#This Row],[delivery_time]]-quick_commerce_orders[[#This Row],[order_time]])*1440)</f>
        <v>10.999999993946403</v>
      </c>
      <c r="G512" s="2">
        <v>2017.88</v>
      </c>
      <c r="H512" s="2" t="str">
        <f>IF(quick_commerce_orders[[#This Row],[order_value]]&lt;500,"Low",IF(quick_commerce_orders[[#This Row],[order_value]]&gt;1500,"High","Moderate"))</f>
        <v>High</v>
      </c>
      <c r="I5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12" s="2" t="s">
        <v>15</v>
      </c>
      <c r="K512" s="2" t="s">
        <v>16</v>
      </c>
    </row>
    <row r="513" spans="1:11" x14ac:dyDescent="0.2">
      <c r="A513" s="2" t="s">
        <v>1041</v>
      </c>
      <c r="B513" s="2" t="s">
        <v>1042</v>
      </c>
      <c r="C513" s="2" t="s">
        <v>34</v>
      </c>
      <c r="D513" s="3">
        <v>46172.405243055553</v>
      </c>
      <c r="E513" s="3">
        <v>46172.412881944445</v>
      </c>
      <c r="F513" s="9">
        <f>IF($K513="cancelled"," ",(quick_commerce_orders[[#This Row],[delivery_time]]-quick_commerce_orders[[#This Row],[order_time]])*1440)</f>
        <v>11.000000004423782</v>
      </c>
      <c r="G513" s="2">
        <v>2230.27</v>
      </c>
      <c r="H513" s="2" t="str">
        <f>IF(quick_commerce_orders[[#This Row],[order_value]]&lt;500,"Low",IF(quick_commerce_orders[[#This Row],[order_value]]&gt;1500,"High","Moderate"))</f>
        <v>High</v>
      </c>
      <c r="I5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13" s="2" t="s">
        <v>80</v>
      </c>
      <c r="K513" s="2" t="s">
        <v>16</v>
      </c>
    </row>
    <row r="514" spans="1:11" x14ac:dyDescent="0.2">
      <c r="A514" s="2" t="s">
        <v>1043</v>
      </c>
      <c r="B514" s="2" t="s">
        <v>1044</v>
      </c>
      <c r="C514" s="2" t="s">
        <v>27</v>
      </c>
      <c r="D514" s="3">
        <v>46168.754166666666</v>
      </c>
      <c r="E514" s="3">
        <v>46168.761805555558</v>
      </c>
      <c r="F514" s="9">
        <f>IF($K514="cancelled"," ",(quick_commerce_orders[[#This Row],[delivery_time]]-quick_commerce_orders[[#This Row],[order_time]])*1440)</f>
        <v>11.000000004423782</v>
      </c>
      <c r="G514" s="2">
        <v>947.63</v>
      </c>
      <c r="H514" s="2" t="str">
        <f>IF(quick_commerce_orders[[#This Row],[order_value]]&lt;500,"Low",IF(quick_commerce_orders[[#This Row],[order_value]]&gt;1500,"High","Moderate"))</f>
        <v>Moderate</v>
      </c>
      <c r="I5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14" s="2" t="s">
        <v>11</v>
      </c>
      <c r="K514" s="2" t="s">
        <v>16</v>
      </c>
    </row>
    <row r="515" spans="1:11" x14ac:dyDescent="0.2">
      <c r="A515" s="2" t="s">
        <v>1045</v>
      </c>
      <c r="B515" s="2" t="s">
        <v>1046</v>
      </c>
      <c r="C515" s="2" t="s">
        <v>19</v>
      </c>
      <c r="D515" s="3">
        <v>46166.737245370372</v>
      </c>
      <c r="E515" s="3">
        <v>46166.774050925924</v>
      </c>
      <c r="F515" s="9">
        <f>IF($K515="cancelled"," ",(quick_commerce_orders[[#This Row],[delivery_time]]-quick_commerce_orders[[#This Row],[order_time]])*1440)</f>
        <v>52.999999994644895</v>
      </c>
      <c r="G515" s="2">
        <v>2426.0700000000002</v>
      </c>
      <c r="H515" s="2" t="str">
        <f>IF(quick_commerce_orders[[#This Row],[order_value]]&lt;500,"Low",IF(quick_commerce_orders[[#This Row],[order_value]]&gt;1500,"High","Moderate"))</f>
        <v>High</v>
      </c>
      <c r="I5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15" s="2" t="s">
        <v>11</v>
      </c>
      <c r="K515" s="2" t="s">
        <v>12</v>
      </c>
    </row>
    <row r="516" spans="1:11" x14ac:dyDescent="0.2">
      <c r="A516" s="2" t="s">
        <v>1047</v>
      </c>
      <c r="B516" s="2" t="s">
        <v>1048</v>
      </c>
      <c r="C516" s="2" t="s">
        <v>31</v>
      </c>
      <c r="D516" s="3">
        <v>46161.404930555553</v>
      </c>
      <c r="E516" s="3">
        <v>46161.412569444445</v>
      </c>
      <c r="F516" s="9">
        <f>IF($K516="cancelled"," ",(quick_commerce_orders[[#This Row],[delivery_time]]-quick_commerce_orders[[#This Row],[order_time]])*1440)</f>
        <v>11.000000004423782</v>
      </c>
      <c r="G516" s="2">
        <v>772.1</v>
      </c>
      <c r="H516" s="2" t="str">
        <f>IF(quick_commerce_orders[[#This Row],[order_value]]&lt;500,"Low",IF(quick_commerce_orders[[#This Row],[order_value]]&gt;1500,"High","Moderate"))</f>
        <v>Moderate</v>
      </c>
      <c r="I5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16" s="2" t="s">
        <v>80</v>
      </c>
      <c r="K516" s="2" t="s">
        <v>16</v>
      </c>
    </row>
    <row r="517" spans="1:11" x14ac:dyDescent="0.2">
      <c r="A517" s="2" t="s">
        <v>1049</v>
      </c>
      <c r="B517" s="2" t="s">
        <v>1050</v>
      </c>
      <c r="C517" s="2" t="s">
        <v>10</v>
      </c>
      <c r="D517" s="3">
        <v>46173.098113425927</v>
      </c>
      <c r="E517" s="3">
        <v>46173.107835648145</v>
      </c>
      <c r="F517" s="9">
        <f>IF($K517="cancelled"," ",(quick_commerce_orders[[#This Row],[delivery_time]]-quick_commerce_orders[[#This Row],[order_time]])*1440)</f>
        <v>13.999999993247911</v>
      </c>
      <c r="G517" s="2">
        <v>173.82</v>
      </c>
      <c r="H517" s="2" t="str">
        <f>IF(quick_commerce_orders[[#This Row],[order_value]]&lt;500,"Low",IF(quick_commerce_orders[[#This Row],[order_value]]&gt;1500,"High","Moderate"))</f>
        <v>Low</v>
      </c>
      <c r="I5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17" s="2" t="s">
        <v>20</v>
      </c>
      <c r="K517" s="2" t="s">
        <v>16</v>
      </c>
    </row>
    <row r="518" spans="1:11" x14ac:dyDescent="0.2">
      <c r="A518" s="2" t="s">
        <v>1051</v>
      </c>
      <c r="B518" s="2" t="s">
        <v>1052</v>
      </c>
      <c r="C518" s="2" t="s">
        <v>34</v>
      </c>
      <c r="D518" s="3">
        <v>46163.344918981478</v>
      </c>
      <c r="E518" s="3">
        <v>46163.35255787037</v>
      </c>
      <c r="F518" s="9">
        <f>IF($K518="cancelled"," ",(quick_commerce_orders[[#This Row],[delivery_time]]-quick_commerce_orders[[#This Row],[order_time]])*1440)</f>
        <v>11.000000004423782</v>
      </c>
      <c r="G518" s="2">
        <v>2459.69</v>
      </c>
      <c r="H518" s="2" t="str">
        <f>IF(quick_commerce_orders[[#This Row],[order_value]]&lt;500,"Low",IF(quick_commerce_orders[[#This Row],[order_value]]&gt;1500,"High","Moderate"))</f>
        <v>High</v>
      </c>
      <c r="I5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18" s="2" t="s">
        <v>80</v>
      </c>
      <c r="K518" s="2" t="s">
        <v>16</v>
      </c>
    </row>
    <row r="519" spans="1:11" x14ac:dyDescent="0.2">
      <c r="A519" s="2" t="s">
        <v>1053</v>
      </c>
      <c r="B519" s="2" t="s">
        <v>1054</v>
      </c>
      <c r="C519" s="2" t="s">
        <v>75</v>
      </c>
      <c r="D519" s="3">
        <v>46162.256631944445</v>
      </c>
      <c r="E519" s="3">
        <v>46162.264965277776</v>
      </c>
      <c r="F519" s="9">
        <f>IF($K519="cancelled"," ",(quick_commerce_orders[[#This Row],[delivery_time]]-quick_commerce_orders[[#This Row],[order_time]])*1440)</f>
        <v>11.999999997206032</v>
      </c>
      <c r="G519" s="2">
        <v>1602.63</v>
      </c>
      <c r="H519" s="2" t="str">
        <f>IF(quick_commerce_orders[[#This Row],[order_value]]&lt;500,"Low",IF(quick_commerce_orders[[#This Row],[order_value]]&gt;1500,"High","Moderate"))</f>
        <v>High</v>
      </c>
      <c r="I5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19" s="2" t="s">
        <v>15</v>
      </c>
      <c r="K519" s="2" t="s">
        <v>16</v>
      </c>
    </row>
    <row r="520" spans="1:11" x14ac:dyDescent="0.2">
      <c r="A520" s="2" t="s">
        <v>1055</v>
      </c>
      <c r="B520" s="2" t="s">
        <v>1056</v>
      </c>
      <c r="C520" s="2" t="s">
        <v>34</v>
      </c>
      <c r="D520" s="3">
        <v>46158.077708333331</v>
      </c>
      <c r="E520" s="3">
        <v>46158.087430555555</v>
      </c>
      <c r="F520" s="9">
        <f>IF($K520="cancelled"," ",(quick_commerce_orders[[#This Row],[delivery_time]]-quick_commerce_orders[[#This Row],[order_time]])*1440)</f>
        <v>14.00000000372529</v>
      </c>
      <c r="G520" s="2">
        <v>2120.77</v>
      </c>
      <c r="H520" s="2" t="str">
        <f>IF(quick_commerce_orders[[#This Row],[order_value]]&lt;500,"Low",IF(quick_commerce_orders[[#This Row],[order_value]]&gt;1500,"High","Moderate"))</f>
        <v>High</v>
      </c>
      <c r="I5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20" s="2" t="s">
        <v>11</v>
      </c>
      <c r="K520" s="2" t="s">
        <v>16</v>
      </c>
    </row>
    <row r="521" spans="1:11" x14ac:dyDescent="0.2">
      <c r="A521" s="2" t="s">
        <v>1057</v>
      </c>
      <c r="B521" s="2" t="s">
        <v>1058</v>
      </c>
      <c r="C521" s="2" t="s">
        <v>10</v>
      </c>
      <c r="D521" s="3">
        <v>46168.889386574076</v>
      </c>
      <c r="E521" s="3">
        <v>46168.899108796293</v>
      </c>
      <c r="F521" s="9">
        <f>IF($K521="cancelled"," ",(quick_commerce_orders[[#This Row],[delivery_time]]-quick_commerce_orders[[#This Row],[order_time]])*1440)</f>
        <v>13.999999993247911</v>
      </c>
      <c r="G521" s="2">
        <v>1469.36</v>
      </c>
      <c r="H521" s="2" t="str">
        <f>IF(quick_commerce_orders[[#This Row],[order_value]]&lt;500,"Low",IF(quick_commerce_orders[[#This Row],[order_value]]&gt;1500,"High","Moderate"))</f>
        <v>Moderate</v>
      </c>
      <c r="I5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1" s="2" t="s">
        <v>28</v>
      </c>
      <c r="K521" s="2" t="s">
        <v>16</v>
      </c>
    </row>
    <row r="522" spans="1:11" x14ac:dyDescent="0.2">
      <c r="A522" s="2" t="s">
        <v>1059</v>
      </c>
      <c r="B522" s="2" t="s">
        <v>1060</v>
      </c>
      <c r="C522" s="2" t="s">
        <v>10</v>
      </c>
      <c r="D522" s="3">
        <v>46151.959502314814</v>
      </c>
      <c r="E522" s="3"/>
      <c r="F522" s="9" t="str">
        <f>IF($K522="cancelled"," ",(quick_commerce_orders[[#This Row],[delivery_time]]-quick_commerce_orders[[#This Row],[order_time]])*1440)</f>
        <v xml:space="preserve"> </v>
      </c>
      <c r="G522" s="2">
        <v>1033.96</v>
      </c>
      <c r="H522" s="2" t="str">
        <f>IF(quick_commerce_orders[[#This Row],[order_value]]&lt;500,"Low",IF(quick_commerce_orders[[#This Row],[order_value]]&gt;1500,"High","Moderate"))</f>
        <v>Moderate</v>
      </c>
      <c r="I5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2" s="2" t="s">
        <v>15</v>
      </c>
      <c r="K522" s="2" t="s">
        <v>58</v>
      </c>
    </row>
    <row r="523" spans="1:11" x14ac:dyDescent="0.2">
      <c r="A523" s="2" t="s">
        <v>1061</v>
      </c>
      <c r="B523" s="2" t="s">
        <v>1062</v>
      </c>
      <c r="C523" s="2" t="s">
        <v>75</v>
      </c>
      <c r="D523" s="3">
        <v>46174.386782407404</v>
      </c>
      <c r="E523" s="3">
        <v>46174.411087962966</v>
      </c>
      <c r="F523" s="9">
        <f>IF($K523="cancelled"," ",(quick_commerce_orders[[#This Row],[delivery_time]]-quick_commerce_orders[[#This Row],[order_time]])*1440)</f>
        <v>35.000000009313226</v>
      </c>
      <c r="G523" s="2">
        <v>1527.46</v>
      </c>
      <c r="H523" s="2" t="str">
        <f>IF(quick_commerce_orders[[#This Row],[order_value]]&lt;500,"Low",IF(quick_commerce_orders[[#This Row],[order_value]]&gt;1500,"High","Moderate"))</f>
        <v>High</v>
      </c>
      <c r="I5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23" s="2" t="s">
        <v>11</v>
      </c>
      <c r="K523" s="2" t="s">
        <v>12</v>
      </c>
    </row>
    <row r="524" spans="1:11" x14ac:dyDescent="0.2">
      <c r="A524" s="2" t="s">
        <v>1063</v>
      </c>
      <c r="B524" s="2" t="s">
        <v>1064</v>
      </c>
      <c r="C524" s="2" t="s">
        <v>34</v>
      </c>
      <c r="D524" s="3">
        <v>46169.517210648148</v>
      </c>
      <c r="E524" s="3">
        <v>46169.526238425926</v>
      </c>
      <c r="F524" s="9">
        <f>IF($K524="cancelled"," ",(quick_commerce_orders[[#This Row],[delivery_time]]-quick_commerce_orders[[#This Row],[order_time]])*1440)</f>
        <v>13.000000000465661</v>
      </c>
      <c r="G524" s="2">
        <v>2174.02</v>
      </c>
      <c r="H524" s="2" t="str">
        <f>IF(quick_commerce_orders[[#This Row],[order_value]]&lt;500,"Low",IF(quick_commerce_orders[[#This Row],[order_value]]&gt;1500,"High","Moderate"))</f>
        <v>High</v>
      </c>
      <c r="I5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4" s="2" t="s">
        <v>20</v>
      </c>
      <c r="K524" s="2" t="s">
        <v>16</v>
      </c>
    </row>
    <row r="525" spans="1:11" x14ac:dyDescent="0.2">
      <c r="A525" s="2" t="s">
        <v>1065</v>
      </c>
      <c r="B525" s="2" t="s">
        <v>1066</v>
      </c>
      <c r="C525" s="2" t="s">
        <v>10</v>
      </c>
      <c r="D525" s="3">
        <v>46145.781666666669</v>
      </c>
      <c r="E525" s="3">
        <v>46145.79</v>
      </c>
      <c r="F525" s="9">
        <f>IF($K525="cancelled"," ",(quick_commerce_orders[[#This Row],[delivery_time]]-quick_commerce_orders[[#This Row],[order_time]])*1440)</f>
        <v>11.999999997206032</v>
      </c>
      <c r="G525" s="2">
        <v>1902.7</v>
      </c>
      <c r="H525" s="2" t="str">
        <f>IF(quick_commerce_orders[[#This Row],[order_value]]&lt;500,"Low",IF(quick_commerce_orders[[#This Row],[order_value]]&gt;1500,"High","Moderate"))</f>
        <v>High</v>
      </c>
      <c r="I5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5" s="2" t="s">
        <v>80</v>
      </c>
      <c r="K525" s="2" t="s">
        <v>16</v>
      </c>
    </row>
    <row r="526" spans="1:11" x14ac:dyDescent="0.2">
      <c r="A526" s="2" t="s">
        <v>1067</v>
      </c>
      <c r="B526" s="2" t="s">
        <v>1068</v>
      </c>
      <c r="C526" s="2" t="s">
        <v>31</v>
      </c>
      <c r="D526" s="3">
        <v>46155.449131944442</v>
      </c>
      <c r="E526" s="3">
        <v>46155.460243055553</v>
      </c>
      <c r="F526" s="9">
        <f>IF($K526="cancelled"," ",(quick_commerce_orders[[#This Row],[delivery_time]]-quick_commerce_orders[[#This Row],[order_time]])*1440)</f>
        <v>15.999999999767169</v>
      </c>
      <c r="G526" s="2">
        <v>1791.64</v>
      </c>
      <c r="H526" s="2" t="str">
        <f>IF(quick_commerce_orders[[#This Row],[order_value]]&lt;500,"Low",IF(quick_commerce_orders[[#This Row],[order_value]]&gt;1500,"High","Moderate"))</f>
        <v>High</v>
      </c>
      <c r="I5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26" s="2" t="s">
        <v>11</v>
      </c>
      <c r="K526" s="2" t="s">
        <v>16</v>
      </c>
    </row>
    <row r="527" spans="1:11" x14ac:dyDescent="0.2">
      <c r="A527" s="2" t="s">
        <v>1069</v>
      </c>
      <c r="B527" s="2" t="s">
        <v>1070</v>
      </c>
      <c r="C527" s="2" t="s">
        <v>34</v>
      </c>
      <c r="D527" s="3">
        <v>46157.899074074077</v>
      </c>
      <c r="E527" s="3">
        <v>46157.905324074076</v>
      </c>
      <c r="F527" s="9">
        <f>IF($K527="cancelled"," ",(quick_commerce_orders[[#This Row],[delivery_time]]-quick_commerce_orders[[#This Row],[order_time]])*1440)</f>
        <v>8.9999999979045242</v>
      </c>
      <c r="G527" s="2">
        <v>853.8</v>
      </c>
      <c r="H527" s="2" t="str">
        <f>IF(quick_commerce_orders[[#This Row],[order_value]]&lt;500,"Low",IF(quick_commerce_orders[[#This Row],[order_value]]&gt;1500,"High","Moderate"))</f>
        <v>Moderate</v>
      </c>
      <c r="I5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7" s="2" t="s">
        <v>39</v>
      </c>
      <c r="K527" s="2" t="s">
        <v>16</v>
      </c>
    </row>
    <row r="528" spans="1:11" x14ac:dyDescent="0.2">
      <c r="A528" s="2" t="s">
        <v>1071</v>
      </c>
      <c r="B528" s="2" t="s">
        <v>1072</v>
      </c>
      <c r="C528" s="2" t="s">
        <v>34</v>
      </c>
      <c r="D528" s="3">
        <v>46173.890648148146</v>
      </c>
      <c r="E528" s="3">
        <v>46173.913564814815</v>
      </c>
      <c r="F528" s="9">
        <f>IF($K528="cancelled"," ",(quick_commerce_orders[[#This Row],[delivery_time]]-quick_commerce_orders[[#This Row],[order_time]])*1440)</f>
        <v>33.000000002793968</v>
      </c>
      <c r="G528" s="2">
        <v>174.91</v>
      </c>
      <c r="H528" s="2" t="str">
        <f>IF(quick_commerce_orders[[#This Row],[order_value]]&lt;500,"Low",IF(quick_commerce_orders[[#This Row],[order_value]]&gt;1500,"High","Moderate"))</f>
        <v>Low</v>
      </c>
      <c r="I5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28" s="2" t="s">
        <v>11</v>
      </c>
      <c r="K528" s="2" t="s">
        <v>12</v>
      </c>
    </row>
    <row r="529" spans="1:11" x14ac:dyDescent="0.2">
      <c r="A529" s="2" t="s">
        <v>1073</v>
      </c>
      <c r="B529" s="2" t="s">
        <v>1074</v>
      </c>
      <c r="C529" s="2" t="s">
        <v>75</v>
      </c>
      <c r="D529" s="3">
        <v>46162.245625000003</v>
      </c>
      <c r="E529" s="3">
        <v>46162.259513888886</v>
      </c>
      <c r="F529" s="9">
        <f>IF($K529="cancelled"," ",(quick_commerce_orders[[#This Row],[delivery_time]]-quick_commerce_orders[[#This Row],[order_time]])*1440)</f>
        <v>19.999999991850927</v>
      </c>
      <c r="G529" s="2">
        <v>1092.29</v>
      </c>
      <c r="H529" s="2" t="str">
        <f>IF(quick_commerce_orders[[#This Row],[order_value]]&lt;500,"Low",IF(quick_commerce_orders[[#This Row],[order_value]]&gt;1500,"High","Moderate"))</f>
        <v>Moderate</v>
      </c>
      <c r="I5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29" s="2" t="s">
        <v>20</v>
      </c>
      <c r="K529" s="2" t="s">
        <v>16</v>
      </c>
    </row>
    <row r="530" spans="1:11" x14ac:dyDescent="0.2">
      <c r="A530" s="2" t="s">
        <v>1075</v>
      </c>
      <c r="B530" s="2" t="s">
        <v>1076</v>
      </c>
      <c r="C530" s="2" t="s">
        <v>19</v>
      </c>
      <c r="D530" s="3">
        <v>46154.379513888889</v>
      </c>
      <c r="E530" s="3">
        <v>46154.385763888888</v>
      </c>
      <c r="F530" s="9">
        <f>IF($K530="cancelled"," ",(quick_commerce_orders[[#This Row],[delivery_time]]-quick_commerce_orders[[#This Row],[order_time]])*1440)</f>
        <v>8.9999999979045242</v>
      </c>
      <c r="G530" s="2">
        <v>1291.93</v>
      </c>
      <c r="H530" s="2" t="str">
        <f>IF(quick_commerce_orders[[#This Row],[order_value]]&lt;500,"Low",IF(quick_commerce_orders[[#This Row],[order_value]]&gt;1500,"High","Moderate"))</f>
        <v>Moderate</v>
      </c>
      <c r="I5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30" s="2" t="s">
        <v>39</v>
      </c>
      <c r="K530" s="2" t="s">
        <v>16</v>
      </c>
    </row>
    <row r="531" spans="1:11" x14ac:dyDescent="0.2">
      <c r="A531" s="2" t="s">
        <v>1077</v>
      </c>
      <c r="B531" s="2" t="s">
        <v>1078</v>
      </c>
      <c r="C531" s="2" t="s">
        <v>19</v>
      </c>
      <c r="D531" s="3">
        <v>46151.969976851855</v>
      </c>
      <c r="E531" s="3">
        <v>46151.978310185186</v>
      </c>
      <c r="F531" s="9">
        <f>IF($K531="cancelled"," ",(quick_commerce_orders[[#This Row],[delivery_time]]-quick_commerce_orders[[#This Row],[order_time]])*1440)</f>
        <v>11.999999997206032</v>
      </c>
      <c r="G531" s="2">
        <v>669.34</v>
      </c>
      <c r="H531" s="2" t="str">
        <f>IF(quick_commerce_orders[[#This Row],[order_value]]&lt;500,"Low",IF(quick_commerce_orders[[#This Row],[order_value]]&gt;1500,"High","Moderate"))</f>
        <v>Moderate</v>
      </c>
      <c r="I5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1" s="2" t="s">
        <v>28</v>
      </c>
      <c r="K531" s="2" t="s">
        <v>16</v>
      </c>
    </row>
    <row r="532" spans="1:11" x14ac:dyDescent="0.2">
      <c r="A532" s="2" t="s">
        <v>1079</v>
      </c>
      <c r="B532" s="2" t="s">
        <v>1080</v>
      </c>
      <c r="C532" s="2" t="s">
        <v>42</v>
      </c>
      <c r="D532" s="3">
        <v>46154.914826388886</v>
      </c>
      <c r="E532" s="3">
        <v>46154.925243055557</v>
      </c>
      <c r="F532" s="9">
        <f>IF($K532="cancelled"," ",(quick_commerce_orders[[#This Row],[delivery_time]]-quick_commerce_orders[[#This Row],[order_time]])*1440)</f>
        <v>15.000000006984919</v>
      </c>
      <c r="G532" s="2">
        <v>1183.58</v>
      </c>
      <c r="H532" s="2" t="str">
        <f>IF(quick_commerce_orders[[#This Row],[order_value]]&lt;500,"Low",IF(quick_commerce_orders[[#This Row],[order_value]]&gt;1500,"High","Moderate"))</f>
        <v>Moderate</v>
      </c>
      <c r="I5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2" s="2" t="s">
        <v>11</v>
      </c>
      <c r="K532" s="2" t="s">
        <v>16</v>
      </c>
    </row>
    <row r="533" spans="1:11" x14ac:dyDescent="0.2">
      <c r="A533" s="2" t="s">
        <v>1081</v>
      </c>
      <c r="B533" s="2" t="s">
        <v>1082</v>
      </c>
      <c r="C533" s="2" t="s">
        <v>10</v>
      </c>
      <c r="D533" s="3">
        <v>46148.307106481479</v>
      </c>
      <c r="E533" s="3">
        <v>46148.31821759259</v>
      </c>
      <c r="F533" s="9">
        <f>IF($K533="cancelled"," ",(quick_commerce_orders[[#This Row],[delivery_time]]-quick_commerce_orders[[#This Row],[order_time]])*1440)</f>
        <v>15.999999999767169</v>
      </c>
      <c r="G533" s="2">
        <v>2380.7399999999998</v>
      </c>
      <c r="H533" s="2" t="str">
        <f>IF(quick_commerce_orders[[#This Row],[order_value]]&lt;500,"Low",IF(quick_commerce_orders[[#This Row],[order_value]]&gt;1500,"High","Moderate"))</f>
        <v>High</v>
      </c>
      <c r="I5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33" s="2" t="s">
        <v>15</v>
      </c>
      <c r="K533" s="2" t="s">
        <v>16</v>
      </c>
    </row>
    <row r="534" spans="1:11" x14ac:dyDescent="0.2">
      <c r="A534" s="2" t="s">
        <v>1083</v>
      </c>
      <c r="B534" s="2" t="s">
        <v>1084</v>
      </c>
      <c r="C534" s="2" t="s">
        <v>42</v>
      </c>
      <c r="D534" s="3">
        <v>46162.577037037037</v>
      </c>
      <c r="E534" s="3">
        <v>46162.586064814815</v>
      </c>
      <c r="F534" s="9">
        <f>IF($K534="cancelled"," ",(quick_commerce_orders[[#This Row],[delivery_time]]-quick_commerce_orders[[#This Row],[order_time]])*1440)</f>
        <v>13.000000000465661</v>
      </c>
      <c r="G534" s="2">
        <v>617.74</v>
      </c>
      <c r="H534" s="2" t="str">
        <f>IF(quick_commerce_orders[[#This Row],[order_value]]&lt;500,"Low",IF(quick_commerce_orders[[#This Row],[order_value]]&gt;1500,"High","Moderate"))</f>
        <v>Moderate</v>
      </c>
      <c r="I5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4" s="2" t="s">
        <v>39</v>
      </c>
      <c r="K534" s="2" t="s">
        <v>16</v>
      </c>
    </row>
    <row r="535" spans="1:11" x14ac:dyDescent="0.2">
      <c r="A535" s="2" t="s">
        <v>1085</v>
      </c>
      <c r="B535" s="2" t="s">
        <v>1086</v>
      </c>
      <c r="C535" s="2" t="s">
        <v>75</v>
      </c>
      <c r="D535" s="3">
        <v>46164.469872685186</v>
      </c>
      <c r="E535" s="3">
        <v>46164.477511574078</v>
      </c>
      <c r="F535" s="9">
        <f>IF($K535="cancelled"," ",(quick_commerce_orders[[#This Row],[delivery_time]]-quick_commerce_orders[[#This Row],[order_time]])*1440)</f>
        <v>11.000000004423782</v>
      </c>
      <c r="G535" s="2">
        <v>824.56</v>
      </c>
      <c r="H535" s="2" t="str">
        <f>IF(quick_commerce_orders[[#This Row],[order_value]]&lt;500,"Low",IF(quick_commerce_orders[[#This Row],[order_value]]&gt;1500,"High","Moderate"))</f>
        <v>Moderate</v>
      </c>
      <c r="I5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35" s="2" t="s">
        <v>80</v>
      </c>
      <c r="K535" s="2" t="s">
        <v>16</v>
      </c>
    </row>
    <row r="536" spans="1:11" x14ac:dyDescent="0.2">
      <c r="A536" s="2" t="s">
        <v>1087</v>
      </c>
      <c r="B536" s="2" t="s">
        <v>1088</v>
      </c>
      <c r="C536" s="2" t="s">
        <v>27</v>
      </c>
      <c r="D536" s="3">
        <v>46161.62091435185</v>
      </c>
      <c r="E536" s="3">
        <v>46161.639664351853</v>
      </c>
      <c r="F536" s="9">
        <f>IF($K536="cancelled"," ",(quick_commerce_orders[[#This Row],[delivery_time]]-quick_commerce_orders[[#This Row],[order_time]])*1440)</f>
        <v>27.000000004190952</v>
      </c>
      <c r="G536" s="2">
        <v>368.36</v>
      </c>
      <c r="H536" s="2" t="str">
        <f>IF(quick_commerce_orders[[#This Row],[order_value]]&lt;500,"Low",IF(quick_commerce_orders[[#This Row],[order_value]]&gt;1500,"High","Moderate"))</f>
        <v>Low</v>
      </c>
      <c r="I5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6" s="2" t="s">
        <v>39</v>
      </c>
      <c r="K536" s="2" t="s">
        <v>12</v>
      </c>
    </row>
    <row r="537" spans="1:11" x14ac:dyDescent="0.2">
      <c r="A537" s="2" t="s">
        <v>1089</v>
      </c>
      <c r="B537" s="2" t="s">
        <v>1090</v>
      </c>
      <c r="C537" s="2" t="s">
        <v>34</v>
      </c>
      <c r="D537" s="3">
        <v>46173.080324074072</v>
      </c>
      <c r="E537" s="3"/>
      <c r="F537" s="9" t="str">
        <f>IF($K537="cancelled"," ",(quick_commerce_orders[[#This Row],[delivery_time]]-quick_commerce_orders[[#This Row],[order_time]])*1440)</f>
        <v xml:space="preserve"> </v>
      </c>
      <c r="G537" s="2">
        <v>1982.87</v>
      </c>
      <c r="H537" s="2" t="str">
        <f>IF(quick_commerce_orders[[#This Row],[order_value]]&lt;500,"Low",IF(quick_commerce_orders[[#This Row],[order_value]]&gt;1500,"High","Moderate"))</f>
        <v>High</v>
      </c>
      <c r="I5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7" s="2" t="s">
        <v>20</v>
      </c>
      <c r="K537" s="2" t="s">
        <v>58</v>
      </c>
    </row>
    <row r="538" spans="1:11" x14ac:dyDescent="0.2">
      <c r="A538" s="2" t="s">
        <v>1091</v>
      </c>
      <c r="B538" s="2" t="s">
        <v>1092</v>
      </c>
      <c r="C538" s="2" t="s">
        <v>31</v>
      </c>
      <c r="D538" s="3">
        <v>46147.664027777777</v>
      </c>
      <c r="E538" s="3">
        <v>46147.674444444441</v>
      </c>
      <c r="F538" s="9">
        <f>IF($K538="cancelled"," ",(quick_commerce_orders[[#This Row],[delivery_time]]-quick_commerce_orders[[#This Row],[order_time]])*1440)</f>
        <v>14.99999999650754</v>
      </c>
      <c r="G538" s="2">
        <v>1965.7</v>
      </c>
      <c r="H538" s="2" t="str">
        <f>IF(quick_commerce_orders[[#This Row],[order_value]]&lt;500,"Low",IF(quick_commerce_orders[[#This Row],[order_value]]&gt;1500,"High","Moderate"))</f>
        <v>High</v>
      </c>
      <c r="I5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8" s="2" t="s">
        <v>15</v>
      </c>
      <c r="K538" s="2" t="s">
        <v>16</v>
      </c>
    </row>
    <row r="539" spans="1:11" x14ac:dyDescent="0.2">
      <c r="A539" s="2" t="s">
        <v>1093</v>
      </c>
      <c r="B539" s="2" t="s">
        <v>1094</v>
      </c>
      <c r="C539" s="2" t="s">
        <v>53</v>
      </c>
      <c r="D539" s="3">
        <v>46150.892048611109</v>
      </c>
      <c r="E539" s="3">
        <v>46150.90315972222</v>
      </c>
      <c r="F539" s="9">
        <f>IF($K539="cancelled"," ",(quick_commerce_orders[[#This Row],[delivery_time]]-quick_commerce_orders[[#This Row],[order_time]])*1440)</f>
        <v>15.999999999767169</v>
      </c>
      <c r="G539" s="2">
        <v>2291.0500000000002</v>
      </c>
      <c r="H539" s="2" t="str">
        <f>IF(quick_commerce_orders[[#This Row],[order_value]]&lt;500,"Low",IF(quick_commerce_orders[[#This Row],[order_value]]&gt;1500,"High","Moderate"))</f>
        <v>High</v>
      </c>
      <c r="I5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39" s="2" t="s">
        <v>28</v>
      </c>
      <c r="K539" s="2" t="s">
        <v>16</v>
      </c>
    </row>
    <row r="540" spans="1:11" x14ac:dyDescent="0.2">
      <c r="A540" s="2" t="s">
        <v>1095</v>
      </c>
      <c r="B540" s="2" t="s">
        <v>1096</v>
      </c>
      <c r="C540" s="2" t="s">
        <v>53</v>
      </c>
      <c r="D540" s="3">
        <v>46162.544386574074</v>
      </c>
      <c r="E540" s="3">
        <v>46162.556192129632</v>
      </c>
      <c r="F540" s="9">
        <f>IF($K540="cancelled"," ",(quick_commerce_orders[[#This Row],[delivery_time]]-quick_commerce_orders[[#This Row],[order_time]])*1440)</f>
        <v>17.000000003026798</v>
      </c>
      <c r="G540" s="2">
        <v>1164.06</v>
      </c>
      <c r="H540" s="2" t="str">
        <f>IF(quick_commerce_orders[[#This Row],[order_value]]&lt;500,"Low",IF(quick_commerce_orders[[#This Row],[order_value]]&gt;1500,"High","Moderate"))</f>
        <v>Moderate</v>
      </c>
      <c r="I5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0" s="2" t="s">
        <v>20</v>
      </c>
      <c r="K540" s="2" t="s">
        <v>16</v>
      </c>
    </row>
    <row r="541" spans="1:11" x14ac:dyDescent="0.2">
      <c r="A541" s="2" t="s">
        <v>1097</v>
      </c>
      <c r="B541" s="2" t="s">
        <v>1098</v>
      </c>
      <c r="C541" s="2" t="s">
        <v>75</v>
      </c>
      <c r="D541" s="3">
        <v>46152.175243055557</v>
      </c>
      <c r="E541" s="3"/>
      <c r="F541" s="9" t="str">
        <f>IF($K541="cancelled"," ",(quick_commerce_orders[[#This Row],[delivery_time]]-quick_commerce_orders[[#This Row],[order_time]])*1440)</f>
        <v xml:space="preserve"> </v>
      </c>
      <c r="G541" s="2">
        <v>158.84</v>
      </c>
      <c r="H541" s="2" t="str">
        <f>IF(quick_commerce_orders[[#This Row],[order_value]]&lt;500,"Low",IF(quick_commerce_orders[[#This Row],[order_value]]&gt;1500,"High","Moderate"))</f>
        <v>Low</v>
      </c>
      <c r="I5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1" s="2" t="s">
        <v>80</v>
      </c>
      <c r="K541" s="2" t="s">
        <v>58</v>
      </c>
    </row>
    <row r="542" spans="1:11" x14ac:dyDescent="0.2">
      <c r="A542" s="2" t="s">
        <v>1099</v>
      </c>
      <c r="B542" s="2" t="s">
        <v>1100</v>
      </c>
      <c r="C542" s="2" t="s">
        <v>53</v>
      </c>
      <c r="D542" s="3">
        <v>46169.790254629632</v>
      </c>
      <c r="E542" s="3">
        <v>46169.79928240741</v>
      </c>
      <c r="F542" s="9">
        <f>IF($K542="cancelled"," ",(quick_commerce_orders[[#This Row],[delivery_time]]-quick_commerce_orders[[#This Row],[order_time]])*1440)</f>
        <v>13.000000000465661</v>
      </c>
      <c r="G542" s="2">
        <v>1257.3900000000001</v>
      </c>
      <c r="H542" s="2" t="str">
        <f>IF(quick_commerce_orders[[#This Row],[order_value]]&lt;500,"Low",IF(quick_commerce_orders[[#This Row],[order_value]]&gt;1500,"High","Moderate"))</f>
        <v>Moderate</v>
      </c>
      <c r="I5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2" s="2" t="s">
        <v>39</v>
      </c>
      <c r="K542" s="2" t="s">
        <v>16</v>
      </c>
    </row>
    <row r="543" spans="1:11" x14ac:dyDescent="0.2">
      <c r="A543" s="2" t="s">
        <v>1101</v>
      </c>
      <c r="B543" s="2" t="s">
        <v>1102</v>
      </c>
      <c r="C543" s="2" t="s">
        <v>42</v>
      </c>
      <c r="D543" s="3">
        <v>46172.181192129632</v>
      </c>
      <c r="E543" s="3">
        <v>46172.19091435185</v>
      </c>
      <c r="F543" s="9">
        <f>IF($K543="cancelled"," ",(quick_commerce_orders[[#This Row],[delivery_time]]-quick_commerce_orders[[#This Row],[order_time]])*1440)</f>
        <v>13.999999993247911</v>
      </c>
      <c r="G543" s="2">
        <v>1299.1300000000001</v>
      </c>
      <c r="H543" s="2" t="str">
        <f>IF(quick_commerce_orders[[#This Row],[order_value]]&lt;500,"Low",IF(quick_commerce_orders[[#This Row],[order_value]]&gt;1500,"High","Moderate"))</f>
        <v>Moderate</v>
      </c>
      <c r="I5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43" s="2" t="s">
        <v>80</v>
      </c>
      <c r="K543" s="2" t="s">
        <v>16</v>
      </c>
    </row>
    <row r="544" spans="1:11" x14ac:dyDescent="0.2">
      <c r="A544" s="2" t="s">
        <v>1103</v>
      </c>
      <c r="B544" s="2" t="s">
        <v>1104</v>
      </c>
      <c r="C544" s="2" t="s">
        <v>75</v>
      </c>
      <c r="D544" s="3">
        <v>46154.105104166665</v>
      </c>
      <c r="E544" s="3">
        <v>46154.115520833337</v>
      </c>
      <c r="F544" s="9">
        <f>IF($K544="cancelled"," ",(quick_commerce_orders[[#This Row],[delivery_time]]-quick_commerce_orders[[#This Row],[order_time]])*1440)</f>
        <v>15.000000006984919</v>
      </c>
      <c r="G544" s="2">
        <v>555.51</v>
      </c>
      <c r="H544" s="2" t="str">
        <f>IF(quick_commerce_orders[[#This Row],[order_value]]&lt;500,"Low",IF(quick_commerce_orders[[#This Row],[order_value]]&gt;1500,"High","Moderate"))</f>
        <v>Moderate</v>
      </c>
      <c r="I5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44" s="2" t="s">
        <v>39</v>
      </c>
      <c r="K544" s="2" t="s">
        <v>16</v>
      </c>
    </row>
    <row r="545" spans="1:11" x14ac:dyDescent="0.2">
      <c r="A545" s="2" t="s">
        <v>1105</v>
      </c>
      <c r="B545" s="2" t="s">
        <v>1106</v>
      </c>
      <c r="C545" s="2" t="s">
        <v>34</v>
      </c>
      <c r="D545" s="3">
        <v>46154.444479166668</v>
      </c>
      <c r="E545" s="3">
        <v>46154.454895833333</v>
      </c>
      <c r="F545" s="9">
        <f>IF($K545="cancelled"," ",(quick_commerce_orders[[#This Row],[delivery_time]]-quick_commerce_orders[[#This Row],[order_time]])*1440)</f>
        <v>14.99999999650754</v>
      </c>
      <c r="G545" s="2">
        <v>2315.73</v>
      </c>
      <c r="H545" s="2" t="str">
        <f>IF(quick_commerce_orders[[#This Row],[order_value]]&lt;500,"Low",IF(quick_commerce_orders[[#This Row],[order_value]]&gt;1500,"High","Moderate"))</f>
        <v>High</v>
      </c>
      <c r="I5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45" s="2" t="s">
        <v>15</v>
      </c>
      <c r="K545" s="2" t="s">
        <v>16</v>
      </c>
    </row>
    <row r="546" spans="1:11" x14ac:dyDescent="0.2">
      <c r="A546" s="2" t="s">
        <v>1107</v>
      </c>
      <c r="B546" s="2" t="s">
        <v>1108</v>
      </c>
      <c r="C546" s="2" t="s">
        <v>42</v>
      </c>
      <c r="D546" s="3">
        <v>46143.595289351855</v>
      </c>
      <c r="E546" s="3">
        <v>46143.605011574073</v>
      </c>
      <c r="F546" s="9">
        <f>IF($K546="cancelled"," ",(quick_commerce_orders[[#This Row],[delivery_time]]-quick_commerce_orders[[#This Row],[order_time]])*1440)</f>
        <v>13.999999993247911</v>
      </c>
      <c r="G546" s="2">
        <v>1856.86</v>
      </c>
      <c r="H546" s="2" t="str">
        <f>IF(quick_commerce_orders[[#This Row],[order_value]]&lt;500,"Low",IF(quick_commerce_orders[[#This Row],[order_value]]&gt;1500,"High","Moderate"))</f>
        <v>High</v>
      </c>
      <c r="I5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6" s="2" t="s">
        <v>11</v>
      </c>
      <c r="K546" s="2" t="s">
        <v>16</v>
      </c>
    </row>
    <row r="547" spans="1:11" x14ac:dyDescent="0.2">
      <c r="A547" s="2" t="s">
        <v>1109</v>
      </c>
      <c r="B547" s="2" t="s">
        <v>1110</v>
      </c>
      <c r="C547" s="2" t="s">
        <v>19</v>
      </c>
      <c r="D547" s="3">
        <v>46153.783449074072</v>
      </c>
      <c r="E547" s="3">
        <v>46153.793171296296</v>
      </c>
      <c r="F547" s="9">
        <f>IF($K547="cancelled"," ",(quick_commerce_orders[[#This Row],[delivery_time]]-quick_commerce_orders[[#This Row],[order_time]])*1440)</f>
        <v>14.00000000372529</v>
      </c>
      <c r="G547" s="2">
        <v>1355.71</v>
      </c>
      <c r="H547" s="2" t="str">
        <f>IF(quick_commerce_orders[[#This Row],[order_value]]&lt;500,"Low",IF(quick_commerce_orders[[#This Row],[order_value]]&gt;1500,"High","Moderate"))</f>
        <v>Moderate</v>
      </c>
      <c r="I5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7" s="2" t="s">
        <v>28</v>
      </c>
      <c r="K547" s="2" t="s">
        <v>16</v>
      </c>
    </row>
    <row r="548" spans="1:11" x14ac:dyDescent="0.2">
      <c r="A548" s="2" t="s">
        <v>1111</v>
      </c>
      <c r="B548" s="2" t="s">
        <v>1112</v>
      </c>
      <c r="C548" s="2" t="s">
        <v>53</v>
      </c>
      <c r="D548" s="3">
        <v>46174.08934027778</v>
      </c>
      <c r="E548" s="3">
        <v>46174.098368055558</v>
      </c>
      <c r="F548" s="9">
        <f>IF($K548="cancelled"," ",(quick_commerce_orders[[#This Row],[delivery_time]]-quick_commerce_orders[[#This Row],[order_time]])*1440)</f>
        <v>13.000000000465661</v>
      </c>
      <c r="G548" s="2">
        <v>1960.28</v>
      </c>
      <c r="H548" s="2" t="str">
        <f>IF(quick_commerce_orders[[#This Row],[order_value]]&lt;500,"Low",IF(quick_commerce_orders[[#This Row],[order_value]]&gt;1500,"High","Moderate"))</f>
        <v>High</v>
      </c>
      <c r="I5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48" s="2" t="s">
        <v>15</v>
      </c>
      <c r="K548" s="2" t="s">
        <v>16</v>
      </c>
    </row>
    <row r="549" spans="1:11" x14ac:dyDescent="0.2">
      <c r="A549" s="2" t="s">
        <v>1113</v>
      </c>
      <c r="B549" s="2" t="s">
        <v>1114</v>
      </c>
      <c r="C549" s="2" t="s">
        <v>10</v>
      </c>
      <c r="D549" s="3">
        <v>46170.852372685185</v>
      </c>
      <c r="E549" s="3">
        <v>46170.866261574076</v>
      </c>
      <c r="F549" s="9">
        <f>IF($K549="cancelled"," ",(quick_commerce_orders[[#This Row],[delivery_time]]-quick_commerce_orders[[#This Row],[order_time]])*1440)</f>
        <v>20.000000002328306</v>
      </c>
      <c r="G549" s="2">
        <v>442.91</v>
      </c>
      <c r="H549" s="2" t="str">
        <f>IF(quick_commerce_orders[[#This Row],[order_value]]&lt;500,"Low",IF(quick_commerce_orders[[#This Row],[order_value]]&gt;1500,"High","Moderate"))</f>
        <v>Low</v>
      </c>
      <c r="I5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49" s="2" t="s">
        <v>15</v>
      </c>
      <c r="K549" s="2" t="s">
        <v>16</v>
      </c>
    </row>
    <row r="550" spans="1:11" x14ac:dyDescent="0.2">
      <c r="A550" s="2" t="s">
        <v>1115</v>
      </c>
      <c r="B550" s="2" t="s">
        <v>1116</v>
      </c>
      <c r="C550" s="2" t="s">
        <v>34</v>
      </c>
      <c r="D550" s="3">
        <v>46170.64166666667</v>
      </c>
      <c r="E550" s="3">
        <v>46170.652083333334</v>
      </c>
      <c r="F550" s="9">
        <f>IF($K550="cancelled"," ",(quick_commerce_orders[[#This Row],[delivery_time]]-quick_commerce_orders[[#This Row],[order_time]])*1440)</f>
        <v>14.99999999650754</v>
      </c>
      <c r="G550" s="2">
        <v>2191.3200000000002</v>
      </c>
      <c r="H550" s="2" t="str">
        <f>IF(quick_commerce_orders[[#This Row],[order_value]]&lt;500,"Low",IF(quick_commerce_orders[[#This Row],[order_value]]&gt;1500,"High","Moderate"))</f>
        <v>High</v>
      </c>
      <c r="I5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50" s="2" t="s">
        <v>28</v>
      </c>
      <c r="K550" s="2" t="s">
        <v>16</v>
      </c>
    </row>
    <row r="551" spans="1:11" x14ac:dyDescent="0.2">
      <c r="A551" s="2" t="s">
        <v>1117</v>
      </c>
      <c r="B551" s="2" t="s">
        <v>1118</v>
      </c>
      <c r="C551" s="2" t="s">
        <v>31</v>
      </c>
      <c r="D551" s="3">
        <v>46145.717199074075</v>
      </c>
      <c r="E551" s="3"/>
      <c r="F551" s="9" t="str">
        <f>IF($K551="cancelled"," ",(quick_commerce_orders[[#This Row],[delivery_time]]-quick_commerce_orders[[#This Row],[order_time]])*1440)</f>
        <v xml:space="preserve"> </v>
      </c>
      <c r="G551" s="2">
        <v>2072.13</v>
      </c>
      <c r="H551" s="2" t="str">
        <f>IF(quick_commerce_orders[[#This Row],[order_value]]&lt;500,"Low",IF(quick_commerce_orders[[#This Row],[order_value]]&gt;1500,"High","Moderate"))</f>
        <v>High</v>
      </c>
      <c r="I5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51" s="2" t="s">
        <v>80</v>
      </c>
      <c r="K551" s="2" t="s">
        <v>58</v>
      </c>
    </row>
    <row r="552" spans="1:11" x14ac:dyDescent="0.2">
      <c r="A552" s="2" t="s">
        <v>1119</v>
      </c>
      <c r="B552" s="2" t="s">
        <v>1120</v>
      </c>
      <c r="C552" s="2" t="s">
        <v>27</v>
      </c>
      <c r="D552" s="3">
        <v>46166.039814814816</v>
      </c>
      <c r="E552" s="3">
        <v>46166.071064814816</v>
      </c>
      <c r="F552" s="9">
        <f>IF($K552="cancelled"," ",(quick_commerce_orders[[#This Row],[delivery_time]]-quick_commerce_orders[[#This Row],[order_time]])*1440)</f>
        <v>45</v>
      </c>
      <c r="G552" s="2">
        <v>2350.2600000000002</v>
      </c>
      <c r="H552" s="2" t="str">
        <f>IF(quick_commerce_orders[[#This Row],[order_value]]&lt;500,"Low",IF(quick_commerce_orders[[#This Row],[order_value]]&gt;1500,"High","Moderate"))</f>
        <v>High</v>
      </c>
      <c r="I5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52" s="2" t="s">
        <v>28</v>
      </c>
      <c r="K552" s="2" t="s">
        <v>12</v>
      </c>
    </row>
    <row r="553" spans="1:11" x14ac:dyDescent="0.2">
      <c r="A553" s="2" t="s">
        <v>1121</v>
      </c>
      <c r="B553" s="2" t="s">
        <v>1122</v>
      </c>
      <c r="C553" s="2" t="s">
        <v>19</v>
      </c>
      <c r="D553" s="3">
        <v>46155.029861111114</v>
      </c>
      <c r="E553" s="3">
        <v>46155.038194444445</v>
      </c>
      <c r="F553" s="9">
        <f>IF($K553="cancelled"," ",(quick_commerce_orders[[#This Row],[delivery_time]]-quick_commerce_orders[[#This Row],[order_time]])*1440)</f>
        <v>11.999999997206032</v>
      </c>
      <c r="G553" s="2">
        <v>1723.12</v>
      </c>
      <c r="H553" s="2" t="str">
        <f>IF(quick_commerce_orders[[#This Row],[order_value]]&lt;500,"Low",IF(quick_commerce_orders[[#This Row],[order_value]]&gt;1500,"High","Moderate"))</f>
        <v>High</v>
      </c>
      <c r="I5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53" s="2" t="s">
        <v>39</v>
      </c>
      <c r="K553" s="2" t="s">
        <v>16</v>
      </c>
    </row>
    <row r="554" spans="1:11" x14ac:dyDescent="0.2">
      <c r="A554" s="2" t="s">
        <v>1123</v>
      </c>
      <c r="B554" s="2" t="s">
        <v>1124</v>
      </c>
      <c r="C554" s="2" t="s">
        <v>27</v>
      </c>
      <c r="D554" s="3">
        <v>46158.322870370372</v>
      </c>
      <c r="E554" s="3">
        <v>46158.332592592589</v>
      </c>
      <c r="F554" s="9">
        <f>IF($K554="cancelled"," ",(quick_commerce_orders[[#This Row],[delivery_time]]-quick_commerce_orders[[#This Row],[order_time]])*1440)</f>
        <v>13.999999993247911</v>
      </c>
      <c r="G554" s="2">
        <v>417.52</v>
      </c>
      <c r="H554" s="2" t="str">
        <f>IF(quick_commerce_orders[[#This Row],[order_value]]&lt;500,"Low",IF(quick_commerce_orders[[#This Row],[order_value]]&gt;1500,"High","Moderate"))</f>
        <v>Low</v>
      </c>
      <c r="I5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54" s="2" t="s">
        <v>39</v>
      </c>
      <c r="K554" s="2" t="s">
        <v>16</v>
      </c>
    </row>
    <row r="555" spans="1:11" x14ac:dyDescent="0.2">
      <c r="A555" s="2" t="s">
        <v>1125</v>
      </c>
      <c r="B555" s="2" t="s">
        <v>1126</v>
      </c>
      <c r="C555" s="2" t="s">
        <v>19</v>
      </c>
      <c r="D555" s="3">
        <v>46165.380624999998</v>
      </c>
      <c r="E555" s="3">
        <v>46165.386180555557</v>
      </c>
      <c r="F555" s="9">
        <f>IF($K555="cancelled"," ",(quick_commerce_orders[[#This Row],[delivery_time]]-quick_commerce_orders[[#This Row],[order_time]])*1440)</f>
        <v>8.0000000051222742</v>
      </c>
      <c r="G555" s="2">
        <v>1837.97</v>
      </c>
      <c r="H555" s="2" t="str">
        <f>IF(quick_commerce_orders[[#This Row],[order_value]]&lt;500,"Low",IF(quick_commerce_orders[[#This Row],[order_value]]&gt;1500,"High","Moderate"))</f>
        <v>High</v>
      </c>
      <c r="I5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55" s="2" t="s">
        <v>15</v>
      </c>
      <c r="K555" s="2" t="s">
        <v>16</v>
      </c>
    </row>
    <row r="556" spans="1:11" x14ac:dyDescent="0.2">
      <c r="A556" s="2" t="s">
        <v>1127</v>
      </c>
      <c r="B556" s="2" t="s">
        <v>1128</v>
      </c>
      <c r="C556" s="2" t="s">
        <v>31</v>
      </c>
      <c r="D556" s="3">
        <v>46167.69258101852</v>
      </c>
      <c r="E556" s="3">
        <v>46167.699525462966</v>
      </c>
      <c r="F556" s="9">
        <f>IF($K556="cancelled"," ",(quick_commerce_orders[[#This Row],[delivery_time]]-quick_commerce_orders[[#This Row],[order_time]])*1440)</f>
        <v>10.000000001164153</v>
      </c>
      <c r="G556" s="2">
        <v>1201.48</v>
      </c>
      <c r="H556" s="2" t="str">
        <f>IF(quick_commerce_orders[[#This Row],[order_value]]&lt;500,"Low",IF(quick_commerce_orders[[#This Row],[order_value]]&gt;1500,"High","Moderate"))</f>
        <v>Moderate</v>
      </c>
      <c r="I5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56" s="2" t="s">
        <v>20</v>
      </c>
      <c r="K556" s="2" t="s">
        <v>16</v>
      </c>
    </row>
    <row r="557" spans="1:11" x14ac:dyDescent="0.2">
      <c r="A557" s="2" t="s">
        <v>1129</v>
      </c>
      <c r="B557" s="2" t="s">
        <v>1130</v>
      </c>
      <c r="C557" s="2" t="s">
        <v>10</v>
      </c>
      <c r="D557" s="3">
        <v>46153.119467592594</v>
      </c>
      <c r="E557" s="3">
        <v>46153.129884259259</v>
      </c>
      <c r="F557" s="9">
        <f>IF($K557="cancelled"," ",(quick_commerce_orders[[#This Row],[delivery_time]]-quick_commerce_orders[[#This Row],[order_time]])*1440)</f>
        <v>14.99999999650754</v>
      </c>
      <c r="G557" s="2">
        <v>1811.83</v>
      </c>
      <c r="H557" s="2" t="str">
        <f>IF(quick_commerce_orders[[#This Row],[order_value]]&lt;500,"Low",IF(quick_commerce_orders[[#This Row],[order_value]]&gt;1500,"High","Moderate"))</f>
        <v>High</v>
      </c>
      <c r="I5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57" s="2" t="s">
        <v>11</v>
      </c>
      <c r="K557" s="2" t="s">
        <v>16</v>
      </c>
    </row>
    <row r="558" spans="1:11" x14ac:dyDescent="0.2">
      <c r="A558" s="2" t="s">
        <v>1131</v>
      </c>
      <c r="B558" s="2" t="s">
        <v>1132</v>
      </c>
      <c r="C558" s="2" t="s">
        <v>19</v>
      </c>
      <c r="D558" s="3">
        <v>46162.395671296297</v>
      </c>
      <c r="E558" s="3">
        <v>46162.403310185182</v>
      </c>
      <c r="F558" s="9">
        <f>IF($K558="cancelled"," ",(quick_commerce_orders[[#This Row],[delivery_time]]-quick_commerce_orders[[#This Row],[order_time]])*1440)</f>
        <v>10.999999993946403</v>
      </c>
      <c r="G558" s="2">
        <v>1352.63</v>
      </c>
      <c r="H558" s="2" t="str">
        <f>IF(quick_commerce_orders[[#This Row],[order_value]]&lt;500,"Low",IF(quick_commerce_orders[[#This Row],[order_value]]&gt;1500,"High","Moderate"))</f>
        <v>Moderate</v>
      </c>
      <c r="I5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58" s="2" t="s">
        <v>11</v>
      </c>
      <c r="K558" s="2" t="s">
        <v>16</v>
      </c>
    </row>
    <row r="559" spans="1:11" x14ac:dyDescent="0.2">
      <c r="A559" s="2" t="s">
        <v>1133</v>
      </c>
      <c r="B559" s="2" t="s">
        <v>1134</v>
      </c>
      <c r="C559" s="2" t="s">
        <v>53</v>
      </c>
      <c r="D559" s="3">
        <v>46164.581053240741</v>
      </c>
      <c r="E559" s="3">
        <v>46164.589386574073</v>
      </c>
      <c r="F559" s="9">
        <f>IF($K559="cancelled"," ",(quick_commerce_orders[[#This Row],[delivery_time]]-quick_commerce_orders[[#This Row],[order_time]])*1440)</f>
        <v>11.999999997206032</v>
      </c>
      <c r="G559" s="2">
        <v>108.86</v>
      </c>
      <c r="H559" s="2" t="str">
        <f>IF(quick_commerce_orders[[#This Row],[order_value]]&lt;500,"Low",IF(quick_commerce_orders[[#This Row],[order_value]]&gt;1500,"High","Moderate"))</f>
        <v>Low</v>
      </c>
      <c r="I5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59" s="2" t="s">
        <v>39</v>
      </c>
      <c r="K559" s="2" t="s">
        <v>16</v>
      </c>
    </row>
    <row r="560" spans="1:11" x14ac:dyDescent="0.2">
      <c r="A560" s="2" t="s">
        <v>1135</v>
      </c>
      <c r="B560" s="2" t="s">
        <v>1136</v>
      </c>
      <c r="C560" s="2" t="s">
        <v>31</v>
      </c>
      <c r="D560" s="3">
        <v>46151.456608796296</v>
      </c>
      <c r="E560" s="3">
        <v>46151.469108796293</v>
      </c>
      <c r="F560" s="9">
        <f>IF($K560="cancelled"," ",(quick_commerce_orders[[#This Row],[delivery_time]]-quick_commerce_orders[[#This Row],[order_time]])*1440)</f>
        <v>17.999999995809048</v>
      </c>
      <c r="G560" s="2">
        <v>2336.61</v>
      </c>
      <c r="H560" s="2" t="str">
        <f>IF(quick_commerce_orders[[#This Row],[order_value]]&lt;500,"Low",IF(quick_commerce_orders[[#This Row],[order_value]]&gt;1500,"High","Moderate"))</f>
        <v>High</v>
      </c>
      <c r="I5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60" s="2" t="s">
        <v>15</v>
      </c>
      <c r="K560" s="2" t="s">
        <v>16</v>
      </c>
    </row>
    <row r="561" spans="1:11" x14ac:dyDescent="0.2">
      <c r="A561" s="2" t="s">
        <v>1137</v>
      </c>
      <c r="B561" s="2" t="s">
        <v>1138</v>
      </c>
      <c r="C561" s="2" t="s">
        <v>10</v>
      </c>
      <c r="D561" s="3">
        <v>46165.257615740738</v>
      </c>
      <c r="E561" s="3">
        <v>46165.263865740744</v>
      </c>
      <c r="F561" s="9">
        <f>IF($K561="cancelled"," ",(quick_commerce_orders[[#This Row],[delivery_time]]-quick_commerce_orders[[#This Row],[order_time]])*1440)</f>
        <v>9.0000000083819032</v>
      </c>
      <c r="G561" s="2">
        <v>1747.93</v>
      </c>
      <c r="H561" s="2" t="str">
        <f>IF(quick_commerce_orders[[#This Row],[order_value]]&lt;500,"Low",IF(quick_commerce_orders[[#This Row],[order_value]]&gt;1500,"High","Moderate"))</f>
        <v>High</v>
      </c>
      <c r="I5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61" s="2" t="s">
        <v>20</v>
      </c>
      <c r="K561" s="2" t="s">
        <v>16</v>
      </c>
    </row>
    <row r="562" spans="1:11" x14ac:dyDescent="0.2">
      <c r="A562" s="2" t="s">
        <v>1139</v>
      </c>
      <c r="B562" s="2" t="s">
        <v>1140</v>
      </c>
      <c r="C562" s="2" t="s">
        <v>27</v>
      </c>
      <c r="D562" s="3">
        <v>46168.009884259256</v>
      </c>
      <c r="E562" s="3">
        <v>46168.018912037034</v>
      </c>
      <c r="F562" s="9">
        <f>IF($K562="cancelled"," ",(quick_commerce_orders[[#This Row],[delivery_time]]-quick_commerce_orders[[#This Row],[order_time]])*1440)</f>
        <v>13.000000000465661</v>
      </c>
      <c r="G562" s="2">
        <v>1525.29</v>
      </c>
      <c r="H562" s="2" t="str">
        <f>IF(quick_commerce_orders[[#This Row],[order_value]]&lt;500,"Low",IF(quick_commerce_orders[[#This Row],[order_value]]&gt;1500,"High","Moderate"))</f>
        <v>High</v>
      </c>
      <c r="I5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62" s="2" t="s">
        <v>28</v>
      </c>
      <c r="K562" s="2" t="s">
        <v>16</v>
      </c>
    </row>
    <row r="563" spans="1:11" x14ac:dyDescent="0.2">
      <c r="A563" s="2" t="s">
        <v>1141</v>
      </c>
      <c r="B563" s="2" t="s">
        <v>1142</v>
      </c>
      <c r="C563" s="2" t="s">
        <v>31</v>
      </c>
      <c r="D563" s="3">
        <v>46151.281956018516</v>
      </c>
      <c r="E563" s="3">
        <v>46151.288206018522</v>
      </c>
      <c r="F563" s="9">
        <f>IF($K563="cancelled"," ",(quick_commerce_orders[[#This Row],[delivery_time]]-quick_commerce_orders[[#This Row],[order_time]])*1440)</f>
        <v>9.0000000083819032</v>
      </c>
      <c r="G563" s="2">
        <v>307.98</v>
      </c>
      <c r="H563" s="2" t="str">
        <f>IF(quick_commerce_orders[[#This Row],[order_value]]&lt;500,"Low",IF(quick_commerce_orders[[#This Row],[order_value]]&gt;1500,"High","Moderate"))</f>
        <v>Low</v>
      </c>
      <c r="I5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63" s="2" t="s">
        <v>20</v>
      </c>
      <c r="K563" s="2" t="s">
        <v>16</v>
      </c>
    </row>
    <row r="564" spans="1:11" x14ac:dyDescent="0.2">
      <c r="A564" s="2" t="s">
        <v>1143</v>
      </c>
      <c r="B564" s="2" t="s">
        <v>1144</v>
      </c>
      <c r="C564" s="2" t="s">
        <v>53</v>
      </c>
      <c r="D564" s="3">
        <v>46153.141493055555</v>
      </c>
      <c r="E564" s="3">
        <v>46153.149826388886</v>
      </c>
      <c r="F564" s="9">
        <f>IF($K564="cancelled"," ",(quick_commerce_orders[[#This Row],[delivery_time]]-quick_commerce_orders[[#This Row],[order_time]])*1440)</f>
        <v>11.999999997206032</v>
      </c>
      <c r="G564" s="2">
        <v>1219.5</v>
      </c>
      <c r="H564" s="2" t="str">
        <f>IF(quick_commerce_orders[[#This Row],[order_value]]&lt;500,"Low",IF(quick_commerce_orders[[#This Row],[order_value]]&gt;1500,"High","Moderate"))</f>
        <v>Moderate</v>
      </c>
      <c r="I5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64" s="2" t="s">
        <v>80</v>
      </c>
      <c r="K564" s="2" t="s">
        <v>16</v>
      </c>
    </row>
    <row r="565" spans="1:11" x14ac:dyDescent="0.2">
      <c r="A565" s="2" t="s">
        <v>1145</v>
      </c>
      <c r="B565" s="2" t="s">
        <v>1146</v>
      </c>
      <c r="C565" s="2" t="s">
        <v>31</v>
      </c>
      <c r="D565" s="3">
        <v>46145.539351851854</v>
      </c>
      <c r="E565" s="3">
        <v>46145.550462962965</v>
      </c>
      <c r="F565" s="9">
        <f>IF($K565="cancelled"," ",(quick_commerce_orders[[#This Row],[delivery_time]]-quick_commerce_orders[[#This Row],[order_time]])*1440)</f>
        <v>15.999999999767169</v>
      </c>
      <c r="G565" s="2">
        <v>209.74</v>
      </c>
      <c r="H565" s="2" t="str">
        <f>IF(quick_commerce_orders[[#This Row],[order_value]]&lt;500,"Low",IF(quick_commerce_orders[[#This Row],[order_value]]&gt;1500,"High","Moderate"))</f>
        <v>Low</v>
      </c>
      <c r="I5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65" s="2" t="s">
        <v>15</v>
      </c>
      <c r="K565" s="2" t="s">
        <v>16</v>
      </c>
    </row>
    <row r="566" spans="1:11" x14ac:dyDescent="0.2">
      <c r="A566" s="2" t="s">
        <v>1147</v>
      </c>
      <c r="B566" s="2" t="s">
        <v>1148</v>
      </c>
      <c r="C566" s="2" t="s">
        <v>42</v>
      </c>
      <c r="D566" s="3">
        <v>46159.735451388886</v>
      </c>
      <c r="E566" s="3">
        <v>46159.746562499997</v>
      </c>
      <c r="F566" s="9">
        <f>IF($K566="cancelled"," ",(quick_commerce_orders[[#This Row],[delivery_time]]-quick_commerce_orders[[#This Row],[order_time]])*1440)</f>
        <v>15.999999999767169</v>
      </c>
      <c r="G566" s="2">
        <v>1348.39</v>
      </c>
      <c r="H566" s="2" t="str">
        <f>IF(quick_commerce_orders[[#This Row],[order_value]]&lt;500,"Low",IF(quick_commerce_orders[[#This Row],[order_value]]&gt;1500,"High","Moderate"))</f>
        <v>Moderate</v>
      </c>
      <c r="I5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66" s="2" t="s">
        <v>15</v>
      </c>
      <c r="K566" s="2" t="s">
        <v>16</v>
      </c>
    </row>
    <row r="567" spans="1:11" x14ac:dyDescent="0.2">
      <c r="A567" s="2" t="s">
        <v>1149</v>
      </c>
      <c r="B567" s="2" t="s">
        <v>1150</v>
      </c>
      <c r="C567" s="2" t="s">
        <v>42</v>
      </c>
      <c r="D567" s="3">
        <v>46146.879641203705</v>
      </c>
      <c r="E567" s="3"/>
      <c r="F567" s="9" t="str">
        <f>IF($K567="cancelled"," ",(quick_commerce_orders[[#This Row],[delivery_time]]-quick_commerce_orders[[#This Row],[order_time]])*1440)</f>
        <v xml:space="preserve"> </v>
      </c>
      <c r="G567" s="2">
        <v>1680.56</v>
      </c>
      <c r="H567" s="2" t="str">
        <f>IF(quick_commerce_orders[[#This Row],[order_value]]&lt;500,"Low",IF(quick_commerce_orders[[#This Row],[order_value]]&gt;1500,"High","Moderate"))</f>
        <v>High</v>
      </c>
      <c r="I5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67" s="2" t="s">
        <v>15</v>
      </c>
      <c r="K567" s="2" t="s">
        <v>58</v>
      </c>
    </row>
    <row r="568" spans="1:11" x14ac:dyDescent="0.2">
      <c r="A568" s="2" t="s">
        <v>1151</v>
      </c>
      <c r="B568" s="2" t="s">
        <v>1152</v>
      </c>
      <c r="C568" s="2" t="s">
        <v>27</v>
      </c>
      <c r="D568" s="3">
        <v>46144.07230324074</v>
      </c>
      <c r="E568" s="3">
        <v>46144.083414351851</v>
      </c>
      <c r="F568" s="9">
        <f>IF($K568="cancelled"," ",(quick_commerce_orders[[#This Row],[delivery_time]]-quick_commerce_orders[[#This Row],[order_time]])*1440)</f>
        <v>15.999999999767169</v>
      </c>
      <c r="G568" s="2">
        <v>848.95</v>
      </c>
      <c r="H568" s="2" t="str">
        <f>IF(quick_commerce_orders[[#This Row],[order_value]]&lt;500,"Low",IF(quick_commerce_orders[[#This Row],[order_value]]&gt;1500,"High","Moderate"))</f>
        <v>Moderate</v>
      </c>
      <c r="I5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68" s="2" t="s">
        <v>39</v>
      </c>
      <c r="K568" s="2" t="s">
        <v>16</v>
      </c>
    </row>
    <row r="569" spans="1:11" x14ac:dyDescent="0.2">
      <c r="A569" s="2" t="s">
        <v>1153</v>
      </c>
      <c r="B569" s="2" t="s">
        <v>1154</v>
      </c>
      <c r="C569" s="2" t="s">
        <v>75</v>
      </c>
      <c r="D569" s="3">
        <v>46169.600081018521</v>
      </c>
      <c r="E569" s="3">
        <v>46169.62091435185</v>
      </c>
      <c r="F569" s="9">
        <f>IF($K569="cancelled"," ",(quick_commerce_orders[[#This Row],[delivery_time]]-quick_commerce_orders[[#This Row],[order_time]])*1440)</f>
        <v>29.999999993015081</v>
      </c>
      <c r="G569" s="2">
        <v>1485.14</v>
      </c>
      <c r="H569" s="2" t="str">
        <f>IF(quick_commerce_orders[[#This Row],[order_value]]&lt;500,"Low",IF(quick_commerce_orders[[#This Row],[order_value]]&gt;1500,"High","Moderate"))</f>
        <v>Moderate</v>
      </c>
      <c r="I5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69" s="2" t="s">
        <v>11</v>
      </c>
      <c r="K569" s="2" t="s">
        <v>12</v>
      </c>
    </row>
    <row r="570" spans="1:11" x14ac:dyDescent="0.2">
      <c r="A570" s="2" t="s">
        <v>1155</v>
      </c>
      <c r="B570" s="2" t="s">
        <v>1156</v>
      </c>
      <c r="C570" s="2" t="s">
        <v>34</v>
      </c>
      <c r="D570" s="3">
        <v>46159.655659722222</v>
      </c>
      <c r="E570" s="3">
        <v>46159.669548611113</v>
      </c>
      <c r="F570" s="9">
        <f>IF($K570="cancelled"," ",(quick_commerce_orders[[#This Row],[delivery_time]]-quick_commerce_orders[[#This Row],[order_time]])*1440)</f>
        <v>20.000000002328306</v>
      </c>
      <c r="G570" s="2">
        <v>848.14</v>
      </c>
      <c r="H570" s="2" t="str">
        <f>IF(quick_commerce_orders[[#This Row],[order_value]]&lt;500,"Low",IF(quick_commerce_orders[[#This Row],[order_value]]&gt;1500,"High","Moderate"))</f>
        <v>Moderate</v>
      </c>
      <c r="I5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0" s="2" t="s">
        <v>80</v>
      </c>
      <c r="K570" s="2" t="s">
        <v>16</v>
      </c>
    </row>
    <row r="571" spans="1:11" x14ac:dyDescent="0.2">
      <c r="A571" s="2" t="s">
        <v>1157</v>
      </c>
      <c r="B571" s="2" t="s">
        <v>1158</v>
      </c>
      <c r="C571" s="2" t="s">
        <v>42</v>
      </c>
      <c r="D571" s="3">
        <v>46156.94699074074</v>
      </c>
      <c r="E571" s="3">
        <v>46156.955324074072</v>
      </c>
      <c r="F571" s="9">
        <f>IF($K571="cancelled"," ",(quick_commerce_orders[[#This Row],[delivery_time]]-quick_commerce_orders[[#This Row],[order_time]])*1440)</f>
        <v>11.999999997206032</v>
      </c>
      <c r="G571" s="2">
        <v>2240.13</v>
      </c>
      <c r="H571" s="2" t="str">
        <f>IF(quick_commerce_orders[[#This Row],[order_value]]&lt;500,"Low",IF(quick_commerce_orders[[#This Row],[order_value]]&gt;1500,"High","Moderate"))</f>
        <v>High</v>
      </c>
      <c r="I5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1" s="2" t="s">
        <v>20</v>
      </c>
      <c r="K571" s="2" t="s">
        <v>16</v>
      </c>
    </row>
    <row r="572" spans="1:11" x14ac:dyDescent="0.2">
      <c r="A572" s="2" t="s">
        <v>1159</v>
      </c>
      <c r="B572" s="2" t="s">
        <v>1160</v>
      </c>
      <c r="C572" s="2" t="s">
        <v>34</v>
      </c>
      <c r="D572" s="3">
        <v>46143.393541666665</v>
      </c>
      <c r="E572" s="3">
        <v>46143.401180555556</v>
      </c>
      <c r="F572" s="9">
        <f>IF($K572="cancelled"," ",(quick_commerce_orders[[#This Row],[delivery_time]]-quick_commerce_orders[[#This Row],[order_time]])*1440)</f>
        <v>11.000000004423782</v>
      </c>
      <c r="G572" s="2">
        <v>869.11</v>
      </c>
      <c r="H572" s="2" t="str">
        <f>IF(quick_commerce_orders[[#This Row],[order_value]]&lt;500,"Low",IF(quick_commerce_orders[[#This Row],[order_value]]&gt;1500,"High","Moderate"))</f>
        <v>Moderate</v>
      </c>
      <c r="I5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72" s="2" t="s">
        <v>28</v>
      </c>
      <c r="K572" s="2" t="s">
        <v>16</v>
      </c>
    </row>
    <row r="573" spans="1:11" x14ac:dyDescent="0.2">
      <c r="A573" s="2" t="s">
        <v>1161</v>
      </c>
      <c r="B573" s="2" t="s">
        <v>1162</v>
      </c>
      <c r="C573" s="2" t="s">
        <v>34</v>
      </c>
      <c r="D573" s="3">
        <v>46149.898113425923</v>
      </c>
      <c r="E573" s="3">
        <v>46149.919641203705</v>
      </c>
      <c r="F573" s="9">
        <f>IF($K573="cancelled"," ",(quick_commerce_orders[[#This Row],[delivery_time]]-quick_commerce_orders[[#This Row],[order_time]])*1440)</f>
        <v>31.000000006752089</v>
      </c>
      <c r="G573" s="2">
        <v>561.11</v>
      </c>
      <c r="H573" s="2" t="str">
        <f>IF(quick_commerce_orders[[#This Row],[order_value]]&lt;500,"Low",IF(quick_commerce_orders[[#This Row],[order_value]]&gt;1500,"High","Moderate"))</f>
        <v>Moderate</v>
      </c>
      <c r="I5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3" s="2" t="s">
        <v>11</v>
      </c>
      <c r="K573" s="2" t="s">
        <v>12</v>
      </c>
    </row>
    <row r="574" spans="1:11" x14ac:dyDescent="0.2">
      <c r="A574" s="2" t="s">
        <v>1163</v>
      </c>
      <c r="B574" s="2" t="s">
        <v>1164</v>
      </c>
      <c r="C574" s="2" t="s">
        <v>27</v>
      </c>
      <c r="D574" s="3">
        <v>46151.579131944447</v>
      </c>
      <c r="E574" s="3">
        <v>46151.585381944446</v>
      </c>
      <c r="F574" s="9">
        <f>IF($K574="cancelled"," ",(quick_commerce_orders[[#This Row],[delivery_time]]-quick_commerce_orders[[#This Row],[order_time]])*1440)</f>
        <v>8.9999999979045242</v>
      </c>
      <c r="G574" s="2">
        <v>762.96</v>
      </c>
      <c r="H574" s="2" t="str">
        <f>IF(quick_commerce_orders[[#This Row],[order_value]]&lt;500,"Low",IF(quick_commerce_orders[[#This Row],[order_value]]&gt;1500,"High","Moderate"))</f>
        <v>Moderate</v>
      </c>
      <c r="I5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4" s="2" t="s">
        <v>20</v>
      </c>
      <c r="K574" s="2" t="s">
        <v>16</v>
      </c>
    </row>
    <row r="575" spans="1:11" x14ac:dyDescent="0.2">
      <c r="A575" s="2" t="s">
        <v>1165</v>
      </c>
      <c r="B575" s="2" t="s">
        <v>1166</v>
      </c>
      <c r="C575" s="2" t="s">
        <v>53</v>
      </c>
      <c r="D575" s="3">
        <v>46149.699062500003</v>
      </c>
      <c r="E575" s="3">
        <v>46149.705312500002</v>
      </c>
      <c r="F575" s="9">
        <f>IF($K575="cancelled"," ",(quick_commerce_orders[[#This Row],[delivery_time]]-quick_commerce_orders[[#This Row],[order_time]])*1440)</f>
        <v>8.9999999979045242</v>
      </c>
      <c r="G575" s="2">
        <v>864.96</v>
      </c>
      <c r="H575" s="2" t="str">
        <f>IF(quick_commerce_orders[[#This Row],[order_value]]&lt;500,"Low",IF(quick_commerce_orders[[#This Row],[order_value]]&gt;1500,"High","Moderate"))</f>
        <v>Moderate</v>
      </c>
      <c r="I5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5" s="2" t="s">
        <v>80</v>
      </c>
      <c r="K575" s="2" t="s">
        <v>16</v>
      </c>
    </row>
    <row r="576" spans="1:11" x14ac:dyDescent="0.2">
      <c r="A576" s="2" t="s">
        <v>1167</v>
      </c>
      <c r="B576" s="2" t="s">
        <v>1168</v>
      </c>
      <c r="C576" s="2" t="s">
        <v>27</v>
      </c>
      <c r="D576" s="3">
        <v>46150.380439814813</v>
      </c>
      <c r="E576" s="3">
        <v>46150.389467592591</v>
      </c>
      <c r="F576" s="9">
        <f>IF($K576="cancelled"," ",(quick_commerce_orders[[#This Row],[delivery_time]]-quick_commerce_orders[[#This Row],[order_time]])*1440)</f>
        <v>13.000000000465661</v>
      </c>
      <c r="G576" s="2">
        <v>1157.68</v>
      </c>
      <c r="H576" s="2" t="str">
        <f>IF(quick_commerce_orders[[#This Row],[order_value]]&lt;500,"Low",IF(quick_commerce_orders[[#This Row],[order_value]]&gt;1500,"High","Moderate"))</f>
        <v>Moderate</v>
      </c>
      <c r="I5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76" s="2" t="s">
        <v>20</v>
      </c>
      <c r="K576" s="2" t="s">
        <v>16</v>
      </c>
    </row>
    <row r="577" spans="1:11" x14ac:dyDescent="0.2">
      <c r="A577" s="2" t="s">
        <v>1169</v>
      </c>
      <c r="B577" s="2" t="s">
        <v>1170</v>
      </c>
      <c r="C577" s="2" t="s">
        <v>75</v>
      </c>
      <c r="D577" s="3">
        <v>46149.633773148147</v>
      </c>
      <c r="E577" s="3">
        <v>46149.639328703706</v>
      </c>
      <c r="F577" s="9">
        <f>IF($K577="cancelled"," ",(quick_commerce_orders[[#This Row],[delivery_time]]-quick_commerce_orders[[#This Row],[order_time]])*1440)</f>
        <v>8.0000000051222742</v>
      </c>
      <c r="G577" s="2">
        <v>381.36</v>
      </c>
      <c r="H577" s="2" t="str">
        <f>IF(quick_commerce_orders[[#This Row],[order_value]]&lt;500,"Low",IF(quick_commerce_orders[[#This Row],[order_value]]&gt;1500,"High","Moderate"))</f>
        <v>Low</v>
      </c>
      <c r="I5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7" s="2" t="s">
        <v>80</v>
      </c>
      <c r="K577" s="2" t="s">
        <v>16</v>
      </c>
    </row>
    <row r="578" spans="1:11" x14ac:dyDescent="0.2">
      <c r="A578" s="2" t="s">
        <v>1171</v>
      </c>
      <c r="B578" s="2" t="s">
        <v>1172</v>
      </c>
      <c r="C578" s="2" t="s">
        <v>10</v>
      </c>
      <c r="D578" s="3">
        <v>46155.370520833334</v>
      </c>
      <c r="E578" s="3"/>
      <c r="F578" s="9" t="str">
        <f>IF($K578="cancelled"," ",(quick_commerce_orders[[#This Row],[delivery_time]]-quick_commerce_orders[[#This Row],[order_time]])*1440)</f>
        <v xml:space="preserve"> </v>
      </c>
      <c r="G578" s="2">
        <v>457.37</v>
      </c>
      <c r="H578" s="2" t="str">
        <f>IF(quick_commerce_orders[[#This Row],[order_value]]&lt;500,"Low",IF(quick_commerce_orders[[#This Row],[order_value]]&gt;1500,"High","Moderate"))</f>
        <v>Low</v>
      </c>
      <c r="I5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8" s="2" t="s">
        <v>39</v>
      </c>
      <c r="K578" s="2" t="s">
        <v>58</v>
      </c>
    </row>
    <row r="579" spans="1:11" x14ac:dyDescent="0.2">
      <c r="A579" s="2" t="s">
        <v>1173</v>
      </c>
      <c r="B579" s="2" t="s">
        <v>1174</v>
      </c>
      <c r="C579" s="2" t="s">
        <v>42</v>
      </c>
      <c r="D579" s="3">
        <v>46155.489884259259</v>
      </c>
      <c r="E579" s="3">
        <v>46155.530856481484</v>
      </c>
      <c r="F579" s="9">
        <f>IF($K579="cancelled"," ",(quick_commerce_orders[[#This Row],[delivery_time]]-quick_commerce_orders[[#This Row],[order_time]])*1440)</f>
        <v>59.00000000372529</v>
      </c>
      <c r="G579" s="2">
        <v>755.73</v>
      </c>
      <c r="H579" s="2" t="str">
        <f>IF(quick_commerce_orders[[#This Row],[order_value]]&lt;500,"Low",IF(quick_commerce_orders[[#This Row],[order_value]]&gt;1500,"High","Moderate"))</f>
        <v>Moderate</v>
      </c>
      <c r="I5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79" s="2" t="s">
        <v>80</v>
      </c>
      <c r="K579" s="2" t="s">
        <v>12</v>
      </c>
    </row>
    <row r="580" spans="1:11" x14ac:dyDescent="0.2">
      <c r="A580" s="2" t="s">
        <v>1175</v>
      </c>
      <c r="B580" s="2" t="s">
        <v>1176</v>
      </c>
      <c r="C580" s="2" t="s">
        <v>19</v>
      </c>
      <c r="D580" s="3">
        <v>46161.210127314815</v>
      </c>
      <c r="E580" s="3">
        <v>46161.217766203707</v>
      </c>
      <c r="F580" s="9">
        <f>IF($K580="cancelled"," ",(quick_commerce_orders[[#This Row],[delivery_time]]-quick_commerce_orders[[#This Row],[order_time]])*1440)</f>
        <v>11.000000004423782</v>
      </c>
      <c r="G580" s="2">
        <v>135.62</v>
      </c>
      <c r="H580" s="2" t="str">
        <f>IF(quick_commerce_orders[[#This Row],[order_value]]&lt;500,"Low",IF(quick_commerce_orders[[#This Row],[order_value]]&gt;1500,"High","Moderate"))</f>
        <v>Low</v>
      </c>
      <c r="I5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80" s="2" t="s">
        <v>80</v>
      </c>
      <c r="K580" s="2" t="s">
        <v>16</v>
      </c>
    </row>
    <row r="581" spans="1:11" x14ac:dyDescent="0.2">
      <c r="A581" s="2" t="s">
        <v>1177</v>
      </c>
      <c r="B581" s="2" t="s">
        <v>1178</v>
      </c>
      <c r="C581" s="2" t="s">
        <v>53</v>
      </c>
      <c r="D581" s="3">
        <v>46174.281238425923</v>
      </c>
      <c r="E581" s="3">
        <v>46174.290266203701</v>
      </c>
      <c r="F581" s="9">
        <f>IF($K581="cancelled"," ",(quick_commerce_orders[[#This Row],[delivery_time]]-quick_commerce_orders[[#This Row],[order_time]])*1440)</f>
        <v>13.000000000465661</v>
      </c>
      <c r="G581" s="2">
        <v>1594.07</v>
      </c>
      <c r="H581" s="2" t="str">
        <f>IF(quick_commerce_orders[[#This Row],[order_value]]&lt;500,"Low",IF(quick_commerce_orders[[#This Row],[order_value]]&gt;1500,"High","Moderate"))</f>
        <v>High</v>
      </c>
      <c r="I5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81" s="2" t="s">
        <v>80</v>
      </c>
      <c r="K581" s="2" t="s">
        <v>16</v>
      </c>
    </row>
    <row r="582" spans="1:11" x14ac:dyDescent="0.2">
      <c r="A582" s="2" t="s">
        <v>1179</v>
      </c>
      <c r="B582" s="2" t="s">
        <v>1180</v>
      </c>
      <c r="C582" s="2" t="s">
        <v>75</v>
      </c>
      <c r="D582" s="3">
        <v>46173.427083333336</v>
      </c>
      <c r="E582" s="3">
        <v>46173.43472222222</v>
      </c>
      <c r="F582" s="9">
        <f>IF($K582="cancelled"," ",(quick_commerce_orders[[#This Row],[delivery_time]]-quick_commerce_orders[[#This Row],[order_time]])*1440)</f>
        <v>10.999999993946403</v>
      </c>
      <c r="G582" s="2">
        <v>1332.75</v>
      </c>
      <c r="H582" s="2" t="str">
        <f>IF(quick_commerce_orders[[#This Row],[order_value]]&lt;500,"Low",IF(quick_commerce_orders[[#This Row],[order_value]]&gt;1500,"High","Moderate"))</f>
        <v>Moderate</v>
      </c>
      <c r="I5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82" s="2" t="s">
        <v>80</v>
      </c>
      <c r="K582" s="2" t="s">
        <v>16</v>
      </c>
    </row>
    <row r="583" spans="1:11" x14ac:dyDescent="0.2">
      <c r="A583" s="2" t="s">
        <v>1181</v>
      </c>
      <c r="B583" s="2" t="s">
        <v>1182</v>
      </c>
      <c r="C583" s="2" t="s">
        <v>10</v>
      </c>
      <c r="D583" s="3">
        <v>46143.879143518519</v>
      </c>
      <c r="E583" s="3">
        <v>46143.891643518517</v>
      </c>
      <c r="F583" s="9">
        <f>IF($K583="cancelled"," ",(quick_commerce_orders[[#This Row],[delivery_time]]-quick_commerce_orders[[#This Row],[order_time]])*1440)</f>
        <v>17.999999995809048</v>
      </c>
      <c r="G583" s="2">
        <v>594.79</v>
      </c>
      <c r="H583" s="2" t="str">
        <f>IF(quick_commerce_orders[[#This Row],[order_value]]&lt;500,"Low",IF(quick_commerce_orders[[#This Row],[order_value]]&gt;1500,"High","Moderate"))</f>
        <v>Moderate</v>
      </c>
      <c r="I5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83" s="2" t="s">
        <v>20</v>
      </c>
      <c r="K583" s="2" t="s">
        <v>16</v>
      </c>
    </row>
    <row r="584" spans="1:11" x14ac:dyDescent="0.2">
      <c r="A584" s="2" t="s">
        <v>1183</v>
      </c>
      <c r="B584" s="2" t="s">
        <v>1184</v>
      </c>
      <c r="C584" s="2" t="s">
        <v>75</v>
      </c>
      <c r="D584" s="3">
        <v>46150.77952546296</v>
      </c>
      <c r="E584" s="3">
        <v>46150.788553240738</v>
      </c>
      <c r="F584" s="9">
        <f>IF($K584="cancelled"," ",(quick_commerce_orders[[#This Row],[delivery_time]]-quick_commerce_orders[[#This Row],[order_time]])*1440)</f>
        <v>13.000000000465661</v>
      </c>
      <c r="G584" s="2">
        <v>939.76</v>
      </c>
      <c r="H584" s="2" t="str">
        <f>IF(quick_commerce_orders[[#This Row],[order_value]]&lt;500,"Low",IF(quick_commerce_orders[[#This Row],[order_value]]&gt;1500,"High","Moderate"))</f>
        <v>Moderate</v>
      </c>
      <c r="I5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84" s="2" t="s">
        <v>15</v>
      </c>
      <c r="K584" s="2" t="s">
        <v>16</v>
      </c>
    </row>
    <row r="585" spans="1:11" x14ac:dyDescent="0.2">
      <c r="A585" s="2" t="s">
        <v>1185</v>
      </c>
      <c r="B585" s="2" t="s">
        <v>1186</v>
      </c>
      <c r="C585" s="2" t="s">
        <v>53</v>
      </c>
      <c r="D585" s="3">
        <v>46152.117731481485</v>
      </c>
      <c r="E585" s="3">
        <v>46152.126064814816</v>
      </c>
      <c r="F585" s="9">
        <f>IF($K585="cancelled"," ",(quick_commerce_orders[[#This Row],[delivery_time]]-quick_commerce_orders[[#This Row],[order_time]])*1440)</f>
        <v>11.999999997206032</v>
      </c>
      <c r="G585" s="2">
        <v>863.36</v>
      </c>
      <c r="H585" s="2" t="str">
        <f>IF(quick_commerce_orders[[#This Row],[order_value]]&lt;500,"Low",IF(quick_commerce_orders[[#This Row],[order_value]]&gt;1500,"High","Moderate"))</f>
        <v>Moderate</v>
      </c>
      <c r="I5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85" s="2" t="s">
        <v>39</v>
      </c>
      <c r="K585" s="2" t="s">
        <v>16</v>
      </c>
    </row>
    <row r="586" spans="1:11" x14ac:dyDescent="0.2">
      <c r="A586" s="2" t="s">
        <v>1187</v>
      </c>
      <c r="B586" s="2" t="s">
        <v>1188</v>
      </c>
      <c r="C586" s="2" t="s">
        <v>27</v>
      </c>
      <c r="D586" s="3">
        <v>46147.990347222221</v>
      </c>
      <c r="E586" s="3">
        <v>46147.998680555553</v>
      </c>
      <c r="F586" s="9">
        <f>IF($K586="cancelled"," ",(quick_commerce_orders[[#This Row],[delivery_time]]-quick_commerce_orders[[#This Row],[order_time]])*1440)</f>
        <v>11.999999997206032</v>
      </c>
      <c r="G586" s="2">
        <v>438.74</v>
      </c>
      <c r="H586" s="2" t="str">
        <f>IF(quick_commerce_orders[[#This Row],[order_value]]&lt;500,"Low",IF(quick_commerce_orders[[#This Row],[order_value]]&gt;1500,"High","Moderate"))</f>
        <v>Low</v>
      </c>
      <c r="I5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86" s="2" t="s">
        <v>28</v>
      </c>
      <c r="K586" s="2" t="s">
        <v>16</v>
      </c>
    </row>
    <row r="587" spans="1:11" x14ac:dyDescent="0.2">
      <c r="A587" s="2" t="s">
        <v>1189</v>
      </c>
      <c r="B587" s="2" t="s">
        <v>1190</v>
      </c>
      <c r="C587" s="2" t="s">
        <v>10</v>
      </c>
      <c r="D587" s="3">
        <v>46159.843391203707</v>
      </c>
      <c r="E587" s="3">
        <v>46159.856585648151</v>
      </c>
      <c r="F587" s="9">
        <f>IF($K587="cancelled"," ",(quick_commerce_orders[[#This Row],[delivery_time]]-quick_commerce_orders[[#This Row],[order_time]])*1440)</f>
        <v>18.999999999068677</v>
      </c>
      <c r="G587" s="2">
        <v>1789.45</v>
      </c>
      <c r="H587" s="2" t="str">
        <f>IF(quick_commerce_orders[[#This Row],[order_value]]&lt;500,"Low",IF(quick_commerce_orders[[#This Row],[order_value]]&gt;1500,"High","Moderate"))</f>
        <v>High</v>
      </c>
      <c r="I5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87" s="2" t="s">
        <v>11</v>
      </c>
      <c r="K587" s="2" t="s">
        <v>16</v>
      </c>
    </row>
    <row r="588" spans="1:11" x14ac:dyDescent="0.2">
      <c r="A588" s="2" t="s">
        <v>1191</v>
      </c>
      <c r="B588" s="2" t="s">
        <v>1192</v>
      </c>
      <c r="C588" s="2" t="s">
        <v>19</v>
      </c>
      <c r="D588" s="3">
        <v>46161.353506944448</v>
      </c>
      <c r="E588" s="3">
        <v>46161.367395833331</v>
      </c>
      <c r="F588" s="9">
        <f>IF($K588="cancelled"," ",(quick_commerce_orders[[#This Row],[delivery_time]]-quick_commerce_orders[[#This Row],[order_time]])*1440)</f>
        <v>19.999999991850927</v>
      </c>
      <c r="G588" s="2">
        <v>778.84</v>
      </c>
      <c r="H588" s="2" t="str">
        <f>IF(quick_commerce_orders[[#This Row],[order_value]]&lt;500,"Low",IF(quick_commerce_orders[[#This Row],[order_value]]&gt;1500,"High","Moderate"))</f>
        <v>Moderate</v>
      </c>
      <c r="I5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88" s="2" t="s">
        <v>20</v>
      </c>
      <c r="K588" s="2" t="s">
        <v>16</v>
      </c>
    </row>
    <row r="589" spans="1:11" x14ac:dyDescent="0.2">
      <c r="A589" s="2" t="s">
        <v>1193</v>
      </c>
      <c r="B589" s="2" t="s">
        <v>1194</v>
      </c>
      <c r="C589" s="2" t="s">
        <v>34</v>
      </c>
      <c r="D589" s="3">
        <v>46149.246550925927</v>
      </c>
      <c r="E589" s="3">
        <v>46149.275717592594</v>
      </c>
      <c r="F589" s="9">
        <f>IF($K589="cancelled"," ",(quick_commerce_orders[[#This Row],[delivery_time]]-quick_commerce_orders[[#This Row],[order_time]])*1440)</f>
        <v>42.000000000698492</v>
      </c>
      <c r="G589" s="2">
        <v>686.58</v>
      </c>
      <c r="H589" s="2" t="str">
        <f>IF(quick_commerce_orders[[#This Row],[order_value]]&lt;500,"Low",IF(quick_commerce_orders[[#This Row],[order_value]]&gt;1500,"High","Moderate"))</f>
        <v>Moderate</v>
      </c>
      <c r="I5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89" s="2" t="s">
        <v>11</v>
      </c>
      <c r="K589" s="2" t="s">
        <v>12</v>
      </c>
    </row>
    <row r="590" spans="1:11" x14ac:dyDescent="0.2">
      <c r="A590" s="2" t="s">
        <v>1195</v>
      </c>
      <c r="B590" s="2" t="s">
        <v>1196</v>
      </c>
      <c r="C590" s="2" t="s">
        <v>53</v>
      </c>
      <c r="D590" s="3">
        <v>46161.494247685187</v>
      </c>
      <c r="E590" s="3">
        <v>46161.501886574071</v>
      </c>
      <c r="F590" s="9">
        <f>IF($K590="cancelled"," ",(quick_commerce_orders[[#This Row],[delivery_time]]-quick_commerce_orders[[#This Row],[order_time]])*1440)</f>
        <v>10.999999993946403</v>
      </c>
      <c r="G590" s="2">
        <v>269.98</v>
      </c>
      <c r="H590" s="2" t="str">
        <f>IF(quick_commerce_orders[[#This Row],[order_value]]&lt;500,"Low",IF(quick_commerce_orders[[#This Row],[order_value]]&gt;1500,"High","Moderate"))</f>
        <v>Low</v>
      </c>
      <c r="I5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0" s="2" t="s">
        <v>20</v>
      </c>
      <c r="K590" s="2" t="s">
        <v>16</v>
      </c>
    </row>
    <row r="591" spans="1:11" x14ac:dyDescent="0.2">
      <c r="A591" s="2" t="s">
        <v>1197</v>
      </c>
      <c r="B591" s="2" t="s">
        <v>1198</v>
      </c>
      <c r="C591" s="2" t="s">
        <v>53</v>
      </c>
      <c r="D591" s="3">
        <v>46163.574386574073</v>
      </c>
      <c r="E591" s="3">
        <v>46163.587581018517</v>
      </c>
      <c r="F591" s="9">
        <f>IF($K591="cancelled"," ",(quick_commerce_orders[[#This Row],[delivery_time]]-quick_commerce_orders[[#This Row],[order_time]])*1440)</f>
        <v>18.999999999068677</v>
      </c>
      <c r="G591" s="2">
        <v>1570.83</v>
      </c>
      <c r="H591" s="2" t="str">
        <f>IF(quick_commerce_orders[[#This Row],[order_value]]&lt;500,"Low",IF(quick_commerce_orders[[#This Row],[order_value]]&gt;1500,"High","Moderate"))</f>
        <v>High</v>
      </c>
      <c r="I5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1" s="2" t="s">
        <v>20</v>
      </c>
      <c r="K591" s="2" t="s">
        <v>16</v>
      </c>
    </row>
    <row r="592" spans="1:11" x14ac:dyDescent="0.2">
      <c r="A592" s="2" t="s">
        <v>1199</v>
      </c>
      <c r="B592" s="2" t="s">
        <v>1200</v>
      </c>
      <c r="C592" s="2" t="s">
        <v>34</v>
      </c>
      <c r="D592" s="3">
        <v>46149.042291666665</v>
      </c>
      <c r="E592" s="3">
        <v>46149.054097222222</v>
      </c>
      <c r="F592" s="9">
        <f>IF($K592="cancelled"," ",(quick_commerce_orders[[#This Row],[delivery_time]]-quick_commerce_orders[[#This Row],[order_time]])*1440)</f>
        <v>17.000000003026798</v>
      </c>
      <c r="G592" s="2">
        <v>911.97</v>
      </c>
      <c r="H592" s="2" t="str">
        <f>IF(quick_commerce_orders[[#This Row],[order_value]]&lt;500,"Low",IF(quick_commerce_orders[[#This Row],[order_value]]&gt;1500,"High","Moderate"))</f>
        <v>Moderate</v>
      </c>
      <c r="I5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592" s="2" t="s">
        <v>80</v>
      </c>
      <c r="K592" s="2" t="s">
        <v>16</v>
      </c>
    </row>
    <row r="593" spans="1:11" x14ac:dyDescent="0.2">
      <c r="A593" s="2" t="s">
        <v>1201</v>
      </c>
      <c r="B593" s="2" t="s">
        <v>1202</v>
      </c>
      <c r="C593" s="2" t="s">
        <v>27</v>
      </c>
      <c r="D593" s="3">
        <v>46151.903587962966</v>
      </c>
      <c r="E593" s="3">
        <v>46151.910532407404</v>
      </c>
      <c r="F593" s="9">
        <f>IF($K593="cancelled"," ",(quick_commerce_orders[[#This Row],[delivery_time]]-quick_commerce_orders[[#This Row],[order_time]])*1440)</f>
        <v>9.9999999906867743</v>
      </c>
      <c r="G593" s="2">
        <v>1163.75</v>
      </c>
      <c r="H593" s="2" t="str">
        <f>IF(quick_commerce_orders[[#This Row],[order_value]]&lt;500,"Low",IF(quick_commerce_orders[[#This Row],[order_value]]&gt;1500,"High","Moderate"))</f>
        <v>Moderate</v>
      </c>
      <c r="I5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3" s="2" t="s">
        <v>28</v>
      </c>
      <c r="K593" s="2" t="s">
        <v>16</v>
      </c>
    </row>
    <row r="594" spans="1:11" x14ac:dyDescent="0.2">
      <c r="A594" s="2" t="s">
        <v>1203</v>
      </c>
      <c r="B594" s="2" t="s">
        <v>1204</v>
      </c>
      <c r="C594" s="2" t="s">
        <v>10</v>
      </c>
      <c r="D594" s="3">
        <v>46164.498240740744</v>
      </c>
      <c r="E594" s="3">
        <v>46164.512129629627</v>
      </c>
      <c r="F594" s="9">
        <f>IF($K594="cancelled"," ",(quick_commerce_orders[[#This Row],[delivery_time]]-quick_commerce_orders[[#This Row],[order_time]])*1440)</f>
        <v>19.999999991850927</v>
      </c>
      <c r="G594" s="2">
        <v>411.18</v>
      </c>
      <c r="H594" s="2" t="str">
        <f>IF(quick_commerce_orders[[#This Row],[order_value]]&lt;500,"Low",IF(quick_commerce_orders[[#This Row],[order_value]]&gt;1500,"High","Moderate"))</f>
        <v>Low</v>
      </c>
      <c r="I5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4" s="2" t="s">
        <v>11</v>
      </c>
      <c r="K594" s="2" t="s">
        <v>16</v>
      </c>
    </row>
    <row r="595" spans="1:11" x14ac:dyDescent="0.2">
      <c r="A595" s="2" t="s">
        <v>1205</v>
      </c>
      <c r="B595" s="2" t="s">
        <v>1206</v>
      </c>
      <c r="C595" s="2" t="s">
        <v>42</v>
      </c>
      <c r="D595" s="3">
        <v>46160.962071759262</v>
      </c>
      <c r="E595" s="3">
        <v>46160.975266203706</v>
      </c>
      <c r="F595" s="9">
        <f>IF($K595="cancelled"," ",(quick_commerce_orders[[#This Row],[delivery_time]]-quick_commerce_orders[[#This Row],[order_time]])*1440)</f>
        <v>18.999999999068677</v>
      </c>
      <c r="G595" s="2">
        <v>1228.77</v>
      </c>
      <c r="H595" s="2" t="str">
        <f>IF(quick_commerce_orders[[#This Row],[order_value]]&lt;500,"Low",IF(quick_commerce_orders[[#This Row],[order_value]]&gt;1500,"High","Moderate"))</f>
        <v>Moderate</v>
      </c>
      <c r="I5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5" s="2" t="s">
        <v>20</v>
      </c>
      <c r="K595" s="2" t="s">
        <v>16</v>
      </c>
    </row>
    <row r="596" spans="1:11" x14ac:dyDescent="0.2">
      <c r="A596" s="2" t="s">
        <v>1207</v>
      </c>
      <c r="B596" s="2" t="s">
        <v>1208</v>
      </c>
      <c r="C596" s="2" t="s">
        <v>75</v>
      </c>
      <c r="D596" s="3">
        <v>46164.213483796295</v>
      </c>
      <c r="E596" s="3">
        <v>46164.25445601852</v>
      </c>
      <c r="F596" s="9">
        <f>IF($K596="cancelled"," ",(quick_commerce_orders[[#This Row],[delivery_time]]-quick_commerce_orders[[#This Row],[order_time]])*1440)</f>
        <v>59.00000000372529</v>
      </c>
      <c r="G596" s="2">
        <v>1720.19</v>
      </c>
      <c r="H596" s="2" t="str">
        <f>IF(quick_commerce_orders[[#This Row],[order_value]]&lt;500,"Low",IF(quick_commerce_orders[[#This Row],[order_value]]&gt;1500,"High","Moderate"))</f>
        <v>High</v>
      </c>
      <c r="I5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596" s="2" t="s">
        <v>11</v>
      </c>
      <c r="K596" s="2" t="s">
        <v>12</v>
      </c>
    </row>
    <row r="597" spans="1:11" x14ac:dyDescent="0.2">
      <c r="A597" s="2" t="s">
        <v>1209</v>
      </c>
      <c r="B597" s="2" t="s">
        <v>1210</v>
      </c>
      <c r="C597" s="2" t="s">
        <v>19</v>
      </c>
      <c r="D597" s="3">
        <v>46168.595752314817</v>
      </c>
      <c r="E597" s="3">
        <v>46168.604085648149</v>
      </c>
      <c r="F597" s="9">
        <f>IF($K597="cancelled"," ",(quick_commerce_orders[[#This Row],[delivery_time]]-quick_commerce_orders[[#This Row],[order_time]])*1440)</f>
        <v>11.999999997206032</v>
      </c>
      <c r="G597" s="2">
        <v>353.22</v>
      </c>
      <c r="H597" s="2" t="str">
        <f>IF(quick_commerce_orders[[#This Row],[order_value]]&lt;500,"Low",IF(quick_commerce_orders[[#This Row],[order_value]]&gt;1500,"High","Moderate"))</f>
        <v>Low</v>
      </c>
      <c r="I5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7" s="2" t="s">
        <v>20</v>
      </c>
      <c r="K597" s="2" t="s">
        <v>16</v>
      </c>
    </row>
    <row r="598" spans="1:11" x14ac:dyDescent="0.2">
      <c r="A598" s="2" t="s">
        <v>1211</v>
      </c>
      <c r="B598" s="2" t="s">
        <v>1212</v>
      </c>
      <c r="C598" s="2" t="s">
        <v>27</v>
      </c>
      <c r="D598" s="3">
        <v>46167.954513888886</v>
      </c>
      <c r="E598" s="3">
        <v>46167.960069444445</v>
      </c>
      <c r="F598" s="9">
        <f>IF($K598="cancelled"," ",(quick_commerce_orders[[#This Row],[delivery_time]]-quick_commerce_orders[[#This Row],[order_time]])*1440)</f>
        <v>8.0000000051222742</v>
      </c>
      <c r="G598" s="2">
        <v>228.12</v>
      </c>
      <c r="H598" s="2" t="str">
        <f>IF(quick_commerce_orders[[#This Row],[order_value]]&lt;500,"Low",IF(quick_commerce_orders[[#This Row],[order_value]]&gt;1500,"High","Moderate"))</f>
        <v>Low</v>
      </c>
      <c r="I5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8" s="2" t="s">
        <v>28</v>
      </c>
      <c r="K598" s="2" t="s">
        <v>16</v>
      </c>
    </row>
    <row r="599" spans="1:11" x14ac:dyDescent="0.2">
      <c r="A599" s="2" t="s">
        <v>1213</v>
      </c>
      <c r="B599" s="2" t="s">
        <v>1214</v>
      </c>
      <c r="C599" s="2" t="s">
        <v>31</v>
      </c>
      <c r="D599" s="3">
        <v>46169.872812499998</v>
      </c>
      <c r="E599" s="3">
        <v>46169.886701388888</v>
      </c>
      <c r="F599" s="9">
        <f>IF($K599="cancelled"," ",(quick_commerce_orders[[#This Row],[delivery_time]]-quick_commerce_orders[[#This Row],[order_time]])*1440)</f>
        <v>20.000000002328306</v>
      </c>
      <c r="G599" s="2">
        <v>1122.52</v>
      </c>
      <c r="H599" s="2" t="str">
        <f>IF(quick_commerce_orders[[#This Row],[order_value]]&lt;500,"Low",IF(quick_commerce_orders[[#This Row],[order_value]]&gt;1500,"High","Moderate"))</f>
        <v>Moderate</v>
      </c>
      <c r="I5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599" s="2" t="s">
        <v>15</v>
      </c>
      <c r="K599" s="2" t="s">
        <v>16</v>
      </c>
    </row>
    <row r="600" spans="1:11" x14ac:dyDescent="0.2">
      <c r="A600" s="2" t="s">
        <v>1215</v>
      </c>
      <c r="B600" s="2" t="s">
        <v>1216</v>
      </c>
      <c r="C600" s="2" t="s">
        <v>10</v>
      </c>
      <c r="D600" s="3">
        <v>46153.131064814814</v>
      </c>
      <c r="E600" s="3"/>
      <c r="F600" s="9" t="str">
        <f>IF($K600="cancelled"," ",(quick_commerce_orders[[#This Row],[delivery_time]]-quick_commerce_orders[[#This Row],[order_time]])*1440)</f>
        <v xml:space="preserve"> </v>
      </c>
      <c r="G600" s="2">
        <v>528.55999999999995</v>
      </c>
      <c r="H600" s="2" t="str">
        <f>IF(quick_commerce_orders[[#This Row],[order_value]]&lt;500,"Low",IF(quick_commerce_orders[[#This Row],[order_value]]&gt;1500,"High","Moderate"))</f>
        <v>Moderate</v>
      </c>
      <c r="I6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0" s="2" t="s">
        <v>15</v>
      </c>
      <c r="K600" s="2" t="s">
        <v>58</v>
      </c>
    </row>
    <row r="601" spans="1:11" x14ac:dyDescent="0.2">
      <c r="A601" s="2" t="s">
        <v>1217</v>
      </c>
      <c r="B601" s="2" t="s">
        <v>1218</v>
      </c>
      <c r="C601" s="2" t="s">
        <v>19</v>
      </c>
      <c r="D601" s="3">
        <v>46146.212800925925</v>
      </c>
      <c r="E601" s="3">
        <v>46146.221134259256</v>
      </c>
      <c r="F601" s="9">
        <f>IF($K601="cancelled"," ",(quick_commerce_orders[[#This Row],[delivery_time]]-quick_commerce_orders[[#This Row],[order_time]])*1440)</f>
        <v>11.999999997206032</v>
      </c>
      <c r="G601" s="2">
        <v>1529.69</v>
      </c>
      <c r="H601" s="2" t="str">
        <f>IF(quick_commerce_orders[[#This Row],[order_value]]&lt;500,"Low",IF(quick_commerce_orders[[#This Row],[order_value]]&gt;1500,"High","Moderate"))</f>
        <v>High</v>
      </c>
      <c r="I6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01" s="2" t="s">
        <v>39</v>
      </c>
      <c r="K601" s="2" t="s">
        <v>16</v>
      </c>
    </row>
    <row r="602" spans="1:11" x14ac:dyDescent="0.2">
      <c r="A602" s="2" t="s">
        <v>1219</v>
      </c>
      <c r="B602" s="2" t="s">
        <v>1220</v>
      </c>
      <c r="C602" s="2" t="s">
        <v>42</v>
      </c>
      <c r="D602" s="3">
        <v>46173.780185185184</v>
      </c>
      <c r="E602" s="3">
        <v>46173.788518518515</v>
      </c>
      <c r="F602" s="9">
        <f>IF($K602="cancelled"," ",(quick_commerce_orders[[#This Row],[delivery_time]]-quick_commerce_orders[[#This Row],[order_time]])*1440)</f>
        <v>11.999999997206032</v>
      </c>
      <c r="G602" s="2">
        <v>1521.61</v>
      </c>
      <c r="H602" s="2" t="str">
        <f>IF(quick_commerce_orders[[#This Row],[order_value]]&lt;500,"Low",IF(quick_commerce_orders[[#This Row],[order_value]]&gt;1500,"High","Moderate"))</f>
        <v>High</v>
      </c>
      <c r="I6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2" s="2" t="s">
        <v>28</v>
      </c>
      <c r="K602" s="2" t="s">
        <v>16</v>
      </c>
    </row>
    <row r="603" spans="1:11" x14ac:dyDescent="0.2">
      <c r="A603" s="2" t="s">
        <v>1221</v>
      </c>
      <c r="B603" s="2" t="s">
        <v>1222</v>
      </c>
      <c r="C603" s="2" t="s">
        <v>53</v>
      </c>
      <c r="D603" s="3">
        <v>46154.808900462966</v>
      </c>
      <c r="E603" s="3">
        <v>46154.817928240744</v>
      </c>
      <c r="F603" s="9">
        <f>IF($K603="cancelled"," ",(quick_commerce_orders[[#This Row],[delivery_time]]-quick_commerce_orders[[#This Row],[order_time]])*1440)</f>
        <v>13.000000000465661</v>
      </c>
      <c r="G603" s="2">
        <v>2105.8200000000002</v>
      </c>
      <c r="H603" s="2" t="str">
        <f>IF(quick_commerce_orders[[#This Row],[order_value]]&lt;500,"Low",IF(quick_commerce_orders[[#This Row],[order_value]]&gt;1500,"High","Moderate"))</f>
        <v>High</v>
      </c>
      <c r="I6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3" s="2" t="s">
        <v>28</v>
      </c>
      <c r="K603" s="2" t="s">
        <v>16</v>
      </c>
    </row>
    <row r="604" spans="1:11" x14ac:dyDescent="0.2">
      <c r="A604" s="2" t="s">
        <v>1223</v>
      </c>
      <c r="B604" s="2" t="s">
        <v>1224</v>
      </c>
      <c r="C604" s="2" t="s">
        <v>31</v>
      </c>
      <c r="D604" s="3">
        <v>46165.792997685188</v>
      </c>
      <c r="E604" s="3">
        <v>46165.806886574072</v>
      </c>
      <c r="F604" s="9">
        <f>IF($K604="cancelled"," ",(quick_commerce_orders[[#This Row],[delivery_time]]-quick_commerce_orders[[#This Row],[order_time]])*1440)</f>
        <v>19.999999991850927</v>
      </c>
      <c r="G604" s="2">
        <v>1777.48</v>
      </c>
      <c r="H604" s="2" t="str">
        <f>IF(quick_commerce_orders[[#This Row],[order_value]]&lt;500,"Low",IF(quick_commerce_orders[[#This Row],[order_value]]&gt;1500,"High","Moderate"))</f>
        <v>High</v>
      </c>
      <c r="I6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4" s="2" t="s">
        <v>80</v>
      </c>
      <c r="K604" s="2" t="s">
        <v>16</v>
      </c>
    </row>
    <row r="605" spans="1:11" x14ac:dyDescent="0.2">
      <c r="A605" s="2" t="s">
        <v>1225</v>
      </c>
      <c r="B605" s="2" t="s">
        <v>1226</v>
      </c>
      <c r="C605" s="2" t="s">
        <v>53</v>
      </c>
      <c r="D605" s="3">
        <v>46151.665636574071</v>
      </c>
      <c r="E605" s="3">
        <v>46151.675358796296</v>
      </c>
      <c r="F605" s="9">
        <f>IF($K605="cancelled"," ",(quick_commerce_orders[[#This Row],[delivery_time]]-quick_commerce_orders[[#This Row],[order_time]])*1440)</f>
        <v>14.00000000372529</v>
      </c>
      <c r="G605" s="2">
        <v>1578.16</v>
      </c>
      <c r="H605" s="2" t="str">
        <f>IF(quick_commerce_orders[[#This Row],[order_value]]&lt;500,"Low",IF(quick_commerce_orders[[#This Row],[order_value]]&gt;1500,"High","Moderate"))</f>
        <v>High</v>
      </c>
      <c r="I6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5" s="2" t="s">
        <v>20</v>
      </c>
      <c r="K605" s="2" t="s">
        <v>16</v>
      </c>
    </row>
    <row r="606" spans="1:11" x14ac:dyDescent="0.2">
      <c r="A606" s="2" t="s">
        <v>1227</v>
      </c>
      <c r="B606" s="2" t="s">
        <v>1228</v>
      </c>
      <c r="C606" s="2" t="s">
        <v>27</v>
      </c>
      <c r="D606" s="3">
        <v>46150.56113425926</v>
      </c>
      <c r="E606" s="3">
        <v>46150.570856481485</v>
      </c>
      <c r="F606" s="9">
        <f>IF($K606="cancelled"," ",(quick_commerce_orders[[#This Row],[delivery_time]]-quick_commerce_orders[[#This Row],[order_time]])*1440)</f>
        <v>14.00000000372529</v>
      </c>
      <c r="G606" s="2">
        <v>848.86</v>
      </c>
      <c r="H606" s="2" t="str">
        <f>IF(quick_commerce_orders[[#This Row],[order_value]]&lt;500,"Low",IF(quick_commerce_orders[[#This Row],[order_value]]&gt;1500,"High","Moderate"))</f>
        <v>Moderate</v>
      </c>
      <c r="I6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6" s="2" t="s">
        <v>15</v>
      </c>
      <c r="K606" s="2" t="s">
        <v>16</v>
      </c>
    </row>
    <row r="607" spans="1:11" x14ac:dyDescent="0.2">
      <c r="A607" s="2" t="s">
        <v>1229</v>
      </c>
      <c r="B607" s="2" t="s">
        <v>1230</v>
      </c>
      <c r="C607" s="2" t="s">
        <v>19</v>
      </c>
      <c r="D607" s="3">
        <v>46147.362037037034</v>
      </c>
      <c r="E607" s="3">
        <v>46147.373842592591</v>
      </c>
      <c r="F607" s="9">
        <f>IF($K607="cancelled"," ",(quick_commerce_orders[[#This Row],[delivery_time]]-quick_commerce_orders[[#This Row],[order_time]])*1440)</f>
        <v>17.000000003026798</v>
      </c>
      <c r="G607" s="2">
        <v>2060.86</v>
      </c>
      <c r="H607" s="2" t="str">
        <f>IF(quick_commerce_orders[[#This Row],[order_value]]&lt;500,"Low",IF(quick_commerce_orders[[#This Row],[order_value]]&gt;1500,"High","Moderate"))</f>
        <v>High</v>
      </c>
      <c r="I6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07" s="2" t="s">
        <v>80</v>
      </c>
      <c r="K607" s="2" t="s">
        <v>16</v>
      </c>
    </row>
    <row r="608" spans="1:11" x14ac:dyDescent="0.2">
      <c r="A608" s="2" t="s">
        <v>1231</v>
      </c>
      <c r="B608" s="2" t="s">
        <v>1232</v>
      </c>
      <c r="C608" s="2" t="s">
        <v>34</v>
      </c>
      <c r="D608" s="3">
        <v>46143.955358796295</v>
      </c>
      <c r="E608" s="3">
        <v>46143.969247685185</v>
      </c>
      <c r="F608" s="9">
        <f>IF($K608="cancelled"," ",(quick_commerce_orders[[#This Row],[delivery_time]]-quick_commerce_orders[[#This Row],[order_time]])*1440)</f>
        <v>20.000000002328306</v>
      </c>
      <c r="G608" s="2">
        <v>1809.96</v>
      </c>
      <c r="H608" s="2" t="str">
        <f>IF(quick_commerce_orders[[#This Row],[order_value]]&lt;500,"Low",IF(quick_commerce_orders[[#This Row],[order_value]]&gt;1500,"High","Moderate"))</f>
        <v>High</v>
      </c>
      <c r="I6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8" s="2" t="s">
        <v>39</v>
      </c>
      <c r="K608" s="2" t="s">
        <v>16</v>
      </c>
    </row>
    <row r="609" spans="1:11" x14ac:dyDescent="0.2">
      <c r="A609" s="2" t="s">
        <v>1233</v>
      </c>
      <c r="B609" s="2" t="s">
        <v>1234</v>
      </c>
      <c r="C609" s="2" t="s">
        <v>27</v>
      </c>
      <c r="D609" s="3">
        <v>46157.913437499999</v>
      </c>
      <c r="E609" s="3">
        <v>46157.930798611109</v>
      </c>
      <c r="F609" s="9">
        <f>IF($K609="cancelled"," ",(quick_commerce_orders[[#This Row],[delivery_time]]-quick_commerce_orders[[#This Row],[order_time]])*1440)</f>
        <v>24.999999997671694</v>
      </c>
      <c r="G609" s="2">
        <v>1709.09</v>
      </c>
      <c r="H609" s="2" t="str">
        <f>IF(quick_commerce_orders[[#This Row],[order_value]]&lt;500,"Low",IF(quick_commerce_orders[[#This Row],[order_value]]&gt;1500,"High","Moderate"))</f>
        <v>High</v>
      </c>
      <c r="I6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09" s="2" t="s">
        <v>15</v>
      </c>
      <c r="K609" s="2" t="s">
        <v>12</v>
      </c>
    </row>
    <row r="610" spans="1:11" x14ac:dyDescent="0.2">
      <c r="A610" s="2" t="s">
        <v>1235</v>
      </c>
      <c r="B610" s="2" t="s">
        <v>1236</v>
      </c>
      <c r="C610" s="2" t="s">
        <v>19</v>
      </c>
      <c r="D610" s="3">
        <v>46149.57136574074</v>
      </c>
      <c r="E610" s="3">
        <v>46149.581782407404</v>
      </c>
      <c r="F610" s="9">
        <f>IF($K610="cancelled"," ",(quick_commerce_orders[[#This Row],[delivery_time]]-quick_commerce_orders[[#This Row],[order_time]])*1440)</f>
        <v>14.99999999650754</v>
      </c>
      <c r="G610" s="2">
        <v>1379.36</v>
      </c>
      <c r="H610" s="2" t="str">
        <f>IF(quick_commerce_orders[[#This Row],[order_value]]&lt;500,"Low",IF(quick_commerce_orders[[#This Row],[order_value]]&gt;1500,"High","Moderate"))</f>
        <v>Moderate</v>
      </c>
      <c r="I6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10" s="2" t="s">
        <v>20</v>
      </c>
      <c r="K610" s="2" t="s">
        <v>16</v>
      </c>
    </row>
    <row r="611" spans="1:11" x14ac:dyDescent="0.2">
      <c r="A611" s="2" t="s">
        <v>1237</v>
      </c>
      <c r="B611" s="2" t="s">
        <v>1238</v>
      </c>
      <c r="C611" s="2" t="s">
        <v>31</v>
      </c>
      <c r="D611" s="3">
        <v>46158.640763888892</v>
      </c>
      <c r="E611" s="3">
        <v>46158.653263888889</v>
      </c>
      <c r="F611" s="9">
        <f>IF($K611="cancelled"," ",(quick_commerce_orders[[#This Row],[delivery_time]]-quick_commerce_orders[[#This Row],[order_time]])*1440)</f>
        <v>17.999999995809048</v>
      </c>
      <c r="G611" s="2">
        <v>2435.84</v>
      </c>
      <c r="H611" s="2" t="str">
        <f>IF(quick_commerce_orders[[#This Row],[order_value]]&lt;500,"Low",IF(quick_commerce_orders[[#This Row],[order_value]]&gt;1500,"High","Moderate"))</f>
        <v>High</v>
      </c>
      <c r="I6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11" s="2" t="s">
        <v>39</v>
      </c>
      <c r="K611" s="2" t="s">
        <v>16</v>
      </c>
    </row>
    <row r="612" spans="1:11" x14ac:dyDescent="0.2">
      <c r="A612" s="2" t="s">
        <v>1239</v>
      </c>
      <c r="B612" s="2" t="s">
        <v>1240</v>
      </c>
      <c r="C612" s="2" t="s">
        <v>75</v>
      </c>
      <c r="D612" s="3">
        <v>46167.204074074078</v>
      </c>
      <c r="E612" s="3">
        <v>46167.243657407409</v>
      </c>
      <c r="F612" s="9">
        <f>IF($K612="cancelled"," ",(quick_commerce_orders[[#This Row],[delivery_time]]-quick_commerce_orders[[#This Row],[order_time]])*1440)</f>
        <v>56.999999997206032</v>
      </c>
      <c r="G612" s="2">
        <v>1912.78</v>
      </c>
      <c r="H612" s="2" t="str">
        <f>IF(quick_commerce_orders[[#This Row],[order_value]]&lt;500,"Low",IF(quick_commerce_orders[[#This Row],[order_value]]&gt;1500,"High","Moderate"))</f>
        <v>High</v>
      </c>
      <c r="I6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12" s="2" t="s">
        <v>39</v>
      </c>
      <c r="K612" s="2" t="s">
        <v>12</v>
      </c>
    </row>
    <row r="613" spans="1:11" x14ac:dyDescent="0.2">
      <c r="A613" s="2" t="s">
        <v>1241</v>
      </c>
      <c r="B613" s="2" t="s">
        <v>1242</v>
      </c>
      <c r="C613" s="2" t="s">
        <v>27</v>
      </c>
      <c r="D613" s="3">
        <v>46146.02915509259</v>
      </c>
      <c r="E613" s="3">
        <v>46146.043043981481</v>
      </c>
      <c r="F613" s="9">
        <f>IF($K613="cancelled"," ",(quick_commerce_orders[[#This Row],[delivery_time]]-quick_commerce_orders[[#This Row],[order_time]])*1440)</f>
        <v>20.000000002328306</v>
      </c>
      <c r="G613" s="2">
        <v>1216.67</v>
      </c>
      <c r="H613" s="2" t="str">
        <f>IF(quick_commerce_orders[[#This Row],[order_value]]&lt;500,"Low",IF(quick_commerce_orders[[#This Row],[order_value]]&gt;1500,"High","Moderate"))</f>
        <v>Moderate</v>
      </c>
      <c r="I6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13" s="2" t="s">
        <v>20</v>
      </c>
      <c r="K613" s="2" t="s">
        <v>16</v>
      </c>
    </row>
    <row r="614" spans="1:11" x14ac:dyDescent="0.2">
      <c r="A614" s="2" t="s">
        <v>1243</v>
      </c>
      <c r="B614" s="2" t="s">
        <v>1244</v>
      </c>
      <c r="C614" s="2" t="s">
        <v>31</v>
      </c>
      <c r="D614" s="3">
        <v>46153.704513888886</v>
      </c>
      <c r="E614" s="3">
        <v>46153.711458333331</v>
      </c>
      <c r="F614" s="9">
        <f>IF($K614="cancelled"," ",(quick_commerce_orders[[#This Row],[delivery_time]]-quick_commerce_orders[[#This Row],[order_time]])*1440)</f>
        <v>10.000000001164153</v>
      </c>
      <c r="G614" s="2">
        <v>415.31</v>
      </c>
      <c r="H614" s="2" t="str">
        <f>IF(quick_commerce_orders[[#This Row],[order_value]]&lt;500,"Low",IF(quick_commerce_orders[[#This Row],[order_value]]&gt;1500,"High","Moderate"))</f>
        <v>Low</v>
      </c>
      <c r="I6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14" s="2" t="s">
        <v>11</v>
      </c>
      <c r="K614" s="2" t="s">
        <v>16</v>
      </c>
    </row>
    <row r="615" spans="1:11" x14ac:dyDescent="0.2">
      <c r="A615" s="2" t="s">
        <v>1245</v>
      </c>
      <c r="B615" s="2" t="s">
        <v>1246</v>
      </c>
      <c r="C615" s="2" t="s">
        <v>53</v>
      </c>
      <c r="D615" s="3">
        <v>46174.21166666667</v>
      </c>
      <c r="E615" s="3">
        <v>46174.221388888887</v>
      </c>
      <c r="F615" s="9">
        <f>IF($K615="cancelled"," ",(quick_commerce_orders[[#This Row],[delivery_time]]-quick_commerce_orders[[#This Row],[order_time]])*1440)</f>
        <v>13.999999993247911</v>
      </c>
      <c r="G615" s="2">
        <v>2049.84</v>
      </c>
      <c r="H615" s="2" t="str">
        <f>IF(quick_commerce_orders[[#This Row],[order_value]]&lt;500,"Low",IF(quick_commerce_orders[[#This Row],[order_value]]&gt;1500,"High","Moderate"))</f>
        <v>High</v>
      </c>
      <c r="I6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15" s="2" t="s">
        <v>80</v>
      </c>
      <c r="K615" s="2" t="s">
        <v>16</v>
      </c>
    </row>
    <row r="616" spans="1:11" x14ac:dyDescent="0.2">
      <c r="A616" s="2" t="s">
        <v>1247</v>
      </c>
      <c r="B616" s="2" t="s">
        <v>1248</v>
      </c>
      <c r="C616" s="2" t="s">
        <v>31</v>
      </c>
      <c r="D616" s="3">
        <v>46174.42732638889</v>
      </c>
      <c r="E616" s="3">
        <v>46174.434965277775</v>
      </c>
      <c r="F616" s="9">
        <f>IF($K616="cancelled"," ",(quick_commerce_orders[[#This Row],[delivery_time]]-quick_commerce_orders[[#This Row],[order_time]])*1440)</f>
        <v>10.999999993946403</v>
      </c>
      <c r="G616" s="2">
        <v>2306.25</v>
      </c>
      <c r="H616" s="2" t="str">
        <f>IF(quick_commerce_orders[[#This Row],[order_value]]&lt;500,"Low",IF(quick_commerce_orders[[#This Row],[order_value]]&gt;1500,"High","Moderate"))</f>
        <v>High</v>
      </c>
      <c r="I6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16" s="2" t="s">
        <v>20</v>
      </c>
      <c r="K616" s="2" t="s">
        <v>16</v>
      </c>
    </row>
    <row r="617" spans="1:11" x14ac:dyDescent="0.2">
      <c r="A617" s="2" t="s">
        <v>1249</v>
      </c>
      <c r="B617" s="2" t="s">
        <v>1250</v>
      </c>
      <c r="C617" s="2" t="s">
        <v>10</v>
      </c>
      <c r="D617" s="3">
        <v>46160.064050925925</v>
      </c>
      <c r="E617" s="3"/>
      <c r="F617" s="9" t="str">
        <f>IF($K617="cancelled"," ",(quick_commerce_orders[[#This Row],[delivery_time]]-quick_commerce_orders[[#This Row],[order_time]])*1440)</f>
        <v xml:space="preserve"> </v>
      </c>
      <c r="G617" s="2">
        <v>1222.8599999999999</v>
      </c>
      <c r="H617" s="2" t="str">
        <f>IF(quick_commerce_orders[[#This Row],[order_value]]&lt;500,"Low",IF(quick_commerce_orders[[#This Row],[order_value]]&gt;1500,"High","Moderate"))</f>
        <v>Moderate</v>
      </c>
      <c r="I6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17" s="2" t="s">
        <v>28</v>
      </c>
      <c r="K617" s="2" t="s">
        <v>58</v>
      </c>
    </row>
    <row r="618" spans="1:11" x14ac:dyDescent="0.2">
      <c r="A618" s="2" t="s">
        <v>1251</v>
      </c>
      <c r="B618" s="2" t="s">
        <v>1252</v>
      </c>
      <c r="C618" s="2" t="s">
        <v>53</v>
      </c>
      <c r="D618" s="3">
        <v>46167.53628472222</v>
      </c>
      <c r="E618" s="3">
        <v>46167.563368055555</v>
      </c>
      <c r="F618" s="9">
        <f>IF($K618="cancelled"," ",(quick_commerce_orders[[#This Row],[delivery_time]]-quick_commerce_orders[[#This Row],[order_time]])*1440)</f>
        <v>39.000000001396984</v>
      </c>
      <c r="G618" s="2">
        <v>1192.4000000000001</v>
      </c>
      <c r="H618" s="2" t="str">
        <f>IF(quick_commerce_orders[[#This Row],[order_value]]&lt;500,"Low",IF(quick_commerce_orders[[#This Row],[order_value]]&gt;1500,"High","Moderate"))</f>
        <v>Moderate</v>
      </c>
      <c r="I6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18" s="2" t="s">
        <v>15</v>
      </c>
      <c r="K618" s="2" t="s">
        <v>12</v>
      </c>
    </row>
    <row r="619" spans="1:11" x14ac:dyDescent="0.2">
      <c r="A619" s="2" t="s">
        <v>1253</v>
      </c>
      <c r="B619" s="2" t="s">
        <v>1254</v>
      </c>
      <c r="C619" s="2" t="s">
        <v>31</v>
      </c>
      <c r="D619" s="3">
        <v>46148.603368055556</v>
      </c>
      <c r="E619" s="3">
        <v>46148.616562499999</v>
      </c>
      <c r="F619" s="9">
        <f>IF($K619="cancelled"," ",(quick_commerce_orders[[#This Row],[delivery_time]]-quick_commerce_orders[[#This Row],[order_time]])*1440)</f>
        <v>18.999999999068677</v>
      </c>
      <c r="G619" s="2">
        <v>1741.75</v>
      </c>
      <c r="H619" s="2" t="str">
        <f>IF(quick_commerce_orders[[#This Row],[order_value]]&lt;500,"Low",IF(quick_commerce_orders[[#This Row],[order_value]]&gt;1500,"High","Moderate"))</f>
        <v>High</v>
      </c>
      <c r="I6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19" s="2" t="s">
        <v>20</v>
      </c>
      <c r="K619" s="2" t="s">
        <v>16</v>
      </c>
    </row>
    <row r="620" spans="1:11" x14ac:dyDescent="0.2">
      <c r="A620" s="2" t="s">
        <v>1255</v>
      </c>
      <c r="B620" s="2" t="s">
        <v>1256</v>
      </c>
      <c r="C620" s="2" t="s">
        <v>42</v>
      </c>
      <c r="D620" s="3">
        <v>46171.121192129627</v>
      </c>
      <c r="E620" s="3">
        <v>46171.134386574071</v>
      </c>
      <c r="F620" s="9">
        <f>IF($K620="cancelled"," ",(quick_commerce_orders[[#This Row],[delivery_time]]-quick_commerce_orders[[#This Row],[order_time]])*1440)</f>
        <v>18.999999999068677</v>
      </c>
      <c r="G620" s="2">
        <v>1803.52</v>
      </c>
      <c r="H620" s="2" t="str">
        <f>IF(quick_commerce_orders[[#This Row],[order_value]]&lt;500,"Low",IF(quick_commerce_orders[[#This Row],[order_value]]&gt;1500,"High","Moderate"))</f>
        <v>High</v>
      </c>
      <c r="I6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20" s="2" t="s">
        <v>11</v>
      </c>
      <c r="K620" s="2" t="s">
        <v>16</v>
      </c>
    </row>
    <row r="621" spans="1:11" x14ac:dyDescent="0.2">
      <c r="A621" s="2" t="s">
        <v>1257</v>
      </c>
      <c r="B621" s="2" t="s">
        <v>1258</v>
      </c>
      <c r="C621" s="2" t="s">
        <v>27</v>
      </c>
      <c r="D621" s="3">
        <v>46171.421886574077</v>
      </c>
      <c r="E621" s="3">
        <v>46171.429525462961</v>
      </c>
      <c r="F621" s="9">
        <f>IF($K621="cancelled"," ",(quick_commerce_orders[[#This Row],[delivery_time]]-quick_commerce_orders[[#This Row],[order_time]])*1440)</f>
        <v>10.999999993946403</v>
      </c>
      <c r="G621" s="2">
        <v>1215.95</v>
      </c>
      <c r="H621" s="2" t="str">
        <f>IF(quick_commerce_orders[[#This Row],[order_value]]&lt;500,"Low",IF(quick_commerce_orders[[#This Row],[order_value]]&gt;1500,"High","Moderate"))</f>
        <v>Moderate</v>
      </c>
      <c r="I6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21" s="2" t="s">
        <v>15</v>
      </c>
      <c r="K621" s="2" t="s">
        <v>16</v>
      </c>
    </row>
    <row r="622" spans="1:11" x14ac:dyDescent="0.2">
      <c r="A622" s="2" t="s">
        <v>1259</v>
      </c>
      <c r="B622" s="2" t="s">
        <v>1260</v>
      </c>
      <c r="C622" s="2" t="s">
        <v>31</v>
      </c>
      <c r="D622" s="3">
        <v>46144.14266203704</v>
      </c>
      <c r="E622" s="3">
        <v>46144.153078703705</v>
      </c>
      <c r="F622" s="9">
        <f>IF($K622="cancelled"," ",(quick_commerce_orders[[#This Row],[delivery_time]]-quick_commerce_orders[[#This Row],[order_time]])*1440)</f>
        <v>14.99999999650754</v>
      </c>
      <c r="G622" s="2">
        <v>655.07000000000005</v>
      </c>
      <c r="H622" s="2" t="str">
        <f>IF(quick_commerce_orders[[#This Row],[order_value]]&lt;500,"Low",IF(quick_commerce_orders[[#This Row],[order_value]]&gt;1500,"High","Moderate"))</f>
        <v>Moderate</v>
      </c>
      <c r="I6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22" s="2" t="s">
        <v>28</v>
      </c>
      <c r="K622" s="2" t="s">
        <v>16</v>
      </c>
    </row>
    <row r="623" spans="1:11" x14ac:dyDescent="0.2">
      <c r="A623" s="2" t="s">
        <v>1261</v>
      </c>
      <c r="B623" s="2" t="s">
        <v>1262</v>
      </c>
      <c r="C623" s="2" t="s">
        <v>31</v>
      </c>
      <c r="D623" s="3">
        <v>46145.732638888891</v>
      </c>
      <c r="E623" s="3">
        <v>46145.759722222225</v>
      </c>
      <c r="F623" s="9">
        <f>IF($K623="cancelled"," ",(quick_commerce_orders[[#This Row],[delivery_time]]-quick_commerce_orders[[#This Row],[order_time]])*1440)</f>
        <v>39.000000001396984</v>
      </c>
      <c r="G623" s="2">
        <v>636.11</v>
      </c>
      <c r="H623" s="2" t="str">
        <f>IF(quick_commerce_orders[[#This Row],[order_value]]&lt;500,"Low",IF(quick_commerce_orders[[#This Row],[order_value]]&gt;1500,"High","Moderate"))</f>
        <v>Moderate</v>
      </c>
      <c r="I6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23" s="2" t="s">
        <v>28</v>
      </c>
      <c r="K623" s="2" t="s">
        <v>12</v>
      </c>
    </row>
    <row r="624" spans="1:11" x14ac:dyDescent="0.2">
      <c r="A624" s="2" t="s">
        <v>1263</v>
      </c>
      <c r="B624" s="2" t="s">
        <v>1264</v>
      </c>
      <c r="C624" s="2" t="s">
        <v>42</v>
      </c>
      <c r="D624" s="3">
        <v>46148.819212962961</v>
      </c>
      <c r="E624" s="3">
        <v>46148.830324074072</v>
      </c>
      <c r="F624" s="9">
        <f>IF($K624="cancelled"," ",(quick_commerce_orders[[#This Row],[delivery_time]]-quick_commerce_orders[[#This Row],[order_time]])*1440)</f>
        <v>15.999999999767169</v>
      </c>
      <c r="G624" s="2">
        <v>2165.63</v>
      </c>
      <c r="H624" s="2" t="str">
        <f>IF(quick_commerce_orders[[#This Row],[order_value]]&lt;500,"Low",IF(quick_commerce_orders[[#This Row],[order_value]]&gt;1500,"High","Moderate"))</f>
        <v>High</v>
      </c>
      <c r="I6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24" s="2" t="s">
        <v>28</v>
      </c>
      <c r="K624" s="2" t="s">
        <v>16</v>
      </c>
    </row>
    <row r="625" spans="1:11" x14ac:dyDescent="0.2">
      <c r="A625" s="2" t="s">
        <v>1265</v>
      </c>
      <c r="B625" s="2" t="s">
        <v>1266</v>
      </c>
      <c r="C625" s="2" t="s">
        <v>34</v>
      </c>
      <c r="D625" s="3">
        <v>46162.691122685188</v>
      </c>
      <c r="E625" s="3">
        <v>46162.702928240738</v>
      </c>
      <c r="F625" s="9">
        <f>IF($K625="cancelled"," ",(quick_commerce_orders[[#This Row],[delivery_time]]-quick_commerce_orders[[#This Row],[order_time]])*1440)</f>
        <v>16.999999992549419</v>
      </c>
      <c r="G625" s="2">
        <v>1579.66</v>
      </c>
      <c r="H625" s="2" t="str">
        <f>IF(quick_commerce_orders[[#This Row],[order_value]]&lt;500,"Low",IF(quick_commerce_orders[[#This Row],[order_value]]&gt;1500,"High","Moderate"))</f>
        <v>High</v>
      </c>
      <c r="I6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25" s="2" t="s">
        <v>20</v>
      </c>
      <c r="K625" s="2" t="s">
        <v>16</v>
      </c>
    </row>
    <row r="626" spans="1:11" x14ac:dyDescent="0.2">
      <c r="A626" s="2" t="s">
        <v>1267</v>
      </c>
      <c r="B626" s="2" t="s">
        <v>1268</v>
      </c>
      <c r="C626" s="2" t="s">
        <v>34</v>
      </c>
      <c r="D626" s="3">
        <v>46172.433240740742</v>
      </c>
      <c r="E626" s="3">
        <v>46172.447129629632</v>
      </c>
      <c r="F626" s="9">
        <f>IF($K626="cancelled"," ",(quick_commerce_orders[[#This Row],[delivery_time]]-quick_commerce_orders[[#This Row],[order_time]])*1440)</f>
        <v>20.000000002328306</v>
      </c>
      <c r="G626" s="2">
        <v>2289.87</v>
      </c>
      <c r="H626" s="2" t="str">
        <f>IF(quick_commerce_orders[[#This Row],[order_value]]&lt;500,"Low",IF(quick_commerce_orders[[#This Row],[order_value]]&gt;1500,"High","Moderate"))</f>
        <v>High</v>
      </c>
      <c r="I6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26" s="2" t="s">
        <v>80</v>
      </c>
      <c r="K626" s="2" t="s">
        <v>16</v>
      </c>
    </row>
    <row r="627" spans="1:11" x14ac:dyDescent="0.2">
      <c r="A627" s="2" t="s">
        <v>1269</v>
      </c>
      <c r="B627" s="2" t="s">
        <v>1270</v>
      </c>
      <c r="C627" s="2" t="s">
        <v>42</v>
      </c>
      <c r="D627" s="3">
        <v>46146.329502314817</v>
      </c>
      <c r="E627" s="3">
        <v>46146.340613425928</v>
      </c>
      <c r="F627" s="9">
        <f>IF($K627="cancelled"," ",(quick_commerce_orders[[#This Row],[delivery_time]]-quick_commerce_orders[[#This Row],[order_time]])*1440)</f>
        <v>15.999999999767169</v>
      </c>
      <c r="G627" s="2">
        <v>1039.98</v>
      </c>
      <c r="H627" s="2" t="str">
        <f>IF(quick_commerce_orders[[#This Row],[order_value]]&lt;500,"Low",IF(quick_commerce_orders[[#This Row],[order_value]]&gt;1500,"High","Moderate"))</f>
        <v>Moderate</v>
      </c>
      <c r="I6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27" s="2" t="s">
        <v>15</v>
      </c>
      <c r="K627" s="2" t="s">
        <v>16</v>
      </c>
    </row>
    <row r="628" spans="1:11" x14ac:dyDescent="0.2">
      <c r="A628" s="2" t="s">
        <v>1271</v>
      </c>
      <c r="B628" s="2" t="s">
        <v>1272</v>
      </c>
      <c r="C628" s="2" t="s">
        <v>42</v>
      </c>
      <c r="D628" s="3">
        <v>46164.742812500001</v>
      </c>
      <c r="E628" s="3">
        <v>46164.756701388891</v>
      </c>
      <c r="F628" s="9">
        <f>IF($K628="cancelled"," ",(quick_commerce_orders[[#This Row],[delivery_time]]-quick_commerce_orders[[#This Row],[order_time]])*1440)</f>
        <v>20.000000002328306</v>
      </c>
      <c r="G628" s="2">
        <v>1778.08</v>
      </c>
      <c r="H628" s="2" t="str">
        <f>IF(quick_commerce_orders[[#This Row],[order_value]]&lt;500,"Low",IF(quick_commerce_orders[[#This Row],[order_value]]&gt;1500,"High","Moderate"))</f>
        <v>High</v>
      </c>
      <c r="I6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28" s="2" t="s">
        <v>20</v>
      </c>
      <c r="K628" s="2" t="s">
        <v>16</v>
      </c>
    </row>
    <row r="629" spans="1:11" x14ac:dyDescent="0.2">
      <c r="A629" s="2" t="s">
        <v>1273</v>
      </c>
      <c r="B629" s="2" t="s">
        <v>1274</v>
      </c>
      <c r="C629" s="2" t="s">
        <v>53</v>
      </c>
      <c r="D629" s="3">
        <v>46173.946099537039</v>
      </c>
      <c r="E629" s="3">
        <v>46173.956516203703</v>
      </c>
      <c r="F629" s="9">
        <f>IF($K629="cancelled"," ",(quick_commerce_orders[[#This Row],[delivery_time]]-quick_commerce_orders[[#This Row],[order_time]])*1440)</f>
        <v>14.99999999650754</v>
      </c>
      <c r="G629" s="2">
        <v>1695.43</v>
      </c>
      <c r="H629" s="2" t="str">
        <f>IF(quick_commerce_orders[[#This Row],[order_value]]&lt;500,"Low",IF(quick_commerce_orders[[#This Row],[order_value]]&gt;1500,"High","Moderate"))</f>
        <v>High</v>
      </c>
      <c r="I6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29" s="2" t="s">
        <v>39</v>
      </c>
      <c r="K629" s="2" t="s">
        <v>16</v>
      </c>
    </row>
    <row r="630" spans="1:11" x14ac:dyDescent="0.2">
      <c r="A630" s="2" t="s">
        <v>1275</v>
      </c>
      <c r="B630" s="2" t="s">
        <v>1276</v>
      </c>
      <c r="C630" s="2" t="s">
        <v>34</v>
      </c>
      <c r="D630" s="3">
        <v>46171.12972222222</v>
      </c>
      <c r="E630" s="3">
        <v>46171.142916666664</v>
      </c>
      <c r="F630" s="9">
        <f>IF($K630="cancelled"," ",(quick_commerce_orders[[#This Row],[delivery_time]]-quick_commerce_orders[[#This Row],[order_time]])*1440)</f>
        <v>18.999999999068677</v>
      </c>
      <c r="G630" s="2">
        <v>1992.07</v>
      </c>
      <c r="H630" s="2" t="str">
        <f>IF(quick_commerce_orders[[#This Row],[order_value]]&lt;500,"Low",IF(quick_commerce_orders[[#This Row],[order_value]]&gt;1500,"High","Moderate"))</f>
        <v>High</v>
      </c>
      <c r="I6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30" s="2" t="s">
        <v>80</v>
      </c>
      <c r="K630" s="2" t="s">
        <v>16</v>
      </c>
    </row>
    <row r="631" spans="1:11" x14ac:dyDescent="0.2">
      <c r="A631" s="2" t="s">
        <v>1277</v>
      </c>
      <c r="B631" s="2" t="s">
        <v>1278</v>
      </c>
      <c r="C631" s="2" t="s">
        <v>27</v>
      </c>
      <c r="D631" s="3">
        <v>46157.014837962961</v>
      </c>
      <c r="E631" s="3">
        <v>46157.025254629632</v>
      </c>
      <c r="F631" s="9">
        <f>IF($K631="cancelled"," ",(quick_commerce_orders[[#This Row],[delivery_time]]-quick_commerce_orders[[#This Row],[order_time]])*1440)</f>
        <v>15.000000006984919</v>
      </c>
      <c r="G631" s="2">
        <v>2216.77</v>
      </c>
      <c r="H631" s="2" t="str">
        <f>IF(quick_commerce_orders[[#This Row],[order_value]]&lt;500,"Low",IF(quick_commerce_orders[[#This Row],[order_value]]&gt;1500,"High","Moderate"))</f>
        <v>High</v>
      </c>
      <c r="I6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31" s="2" t="s">
        <v>15</v>
      </c>
      <c r="K631" s="2" t="s">
        <v>16</v>
      </c>
    </row>
    <row r="632" spans="1:11" x14ac:dyDescent="0.2">
      <c r="A632" s="2" t="s">
        <v>1279</v>
      </c>
      <c r="B632" s="2" t="s">
        <v>1280</v>
      </c>
      <c r="C632" s="2" t="s">
        <v>75</v>
      </c>
      <c r="D632" s="3">
        <v>46161.731516203705</v>
      </c>
      <c r="E632" s="3">
        <v>46161.740543981483</v>
      </c>
      <c r="F632" s="9">
        <f>IF($K632="cancelled"," ",(quick_commerce_orders[[#This Row],[delivery_time]]-quick_commerce_orders[[#This Row],[order_time]])*1440)</f>
        <v>13.000000000465661</v>
      </c>
      <c r="G632" s="2">
        <v>1186.8800000000001</v>
      </c>
      <c r="H632" s="2" t="str">
        <f>IF(quick_commerce_orders[[#This Row],[order_value]]&lt;500,"Low",IF(quick_commerce_orders[[#This Row],[order_value]]&gt;1500,"High","Moderate"))</f>
        <v>Moderate</v>
      </c>
      <c r="I6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32" s="2" t="s">
        <v>80</v>
      </c>
      <c r="K632" s="2" t="s">
        <v>16</v>
      </c>
    </row>
    <row r="633" spans="1:11" x14ac:dyDescent="0.2">
      <c r="A633" s="2" t="s">
        <v>1281</v>
      </c>
      <c r="B633" s="2" t="s">
        <v>1282</v>
      </c>
      <c r="C633" s="2" t="s">
        <v>10</v>
      </c>
      <c r="D633" s="3">
        <v>46149.081365740742</v>
      </c>
      <c r="E633" s="3"/>
      <c r="F633" s="9" t="str">
        <f>IF($K633="cancelled"," ",(quick_commerce_orders[[#This Row],[delivery_time]]-quick_commerce_orders[[#This Row],[order_time]])*1440)</f>
        <v xml:space="preserve"> </v>
      </c>
      <c r="G633" s="2">
        <v>171.63</v>
      </c>
      <c r="H633" s="2" t="str">
        <f>IF(quick_commerce_orders[[#This Row],[order_value]]&lt;500,"Low",IF(quick_commerce_orders[[#This Row],[order_value]]&gt;1500,"High","Moderate"))</f>
        <v>Low</v>
      </c>
      <c r="I6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33" s="2" t="s">
        <v>20</v>
      </c>
      <c r="K633" s="2" t="s">
        <v>58</v>
      </c>
    </row>
    <row r="634" spans="1:11" x14ac:dyDescent="0.2">
      <c r="A634" s="2" t="s">
        <v>1283</v>
      </c>
      <c r="B634" s="2" t="s">
        <v>1284</v>
      </c>
      <c r="C634" s="2" t="s">
        <v>27</v>
      </c>
      <c r="D634" s="3">
        <v>46174.203298611108</v>
      </c>
      <c r="E634" s="3">
        <v>46174.217187499999</v>
      </c>
      <c r="F634" s="9">
        <f>IF($K634="cancelled"," ",(quick_commerce_orders[[#This Row],[delivery_time]]-quick_commerce_orders[[#This Row],[order_time]])*1440)</f>
        <v>20.000000002328306</v>
      </c>
      <c r="G634" s="2">
        <v>1239.8</v>
      </c>
      <c r="H634" s="2" t="str">
        <f>IF(quick_commerce_orders[[#This Row],[order_value]]&lt;500,"Low",IF(quick_commerce_orders[[#This Row],[order_value]]&gt;1500,"High","Moderate"))</f>
        <v>Moderate</v>
      </c>
      <c r="I6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34" s="2" t="s">
        <v>15</v>
      </c>
      <c r="K634" s="2" t="s">
        <v>16</v>
      </c>
    </row>
    <row r="635" spans="1:11" x14ac:dyDescent="0.2">
      <c r="A635" s="2" t="s">
        <v>1285</v>
      </c>
      <c r="B635" s="2" t="s">
        <v>1286</v>
      </c>
      <c r="C635" s="2" t="s">
        <v>10</v>
      </c>
      <c r="D635" s="3">
        <v>46169.136562500003</v>
      </c>
      <c r="E635" s="3">
        <v>46169.142812500002</v>
      </c>
      <c r="F635" s="9">
        <f>IF($K635="cancelled"," ",(quick_commerce_orders[[#This Row],[delivery_time]]-quick_commerce_orders[[#This Row],[order_time]])*1440)</f>
        <v>8.9999999979045242</v>
      </c>
      <c r="G635" s="2">
        <v>942.46</v>
      </c>
      <c r="H635" s="2" t="str">
        <f>IF(quick_commerce_orders[[#This Row],[order_value]]&lt;500,"Low",IF(quick_commerce_orders[[#This Row],[order_value]]&gt;1500,"High","Moderate"))</f>
        <v>Moderate</v>
      </c>
      <c r="I6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35" s="2" t="s">
        <v>11</v>
      </c>
      <c r="K635" s="2" t="s">
        <v>16</v>
      </c>
    </row>
    <row r="636" spans="1:11" x14ac:dyDescent="0.2">
      <c r="A636" s="2" t="s">
        <v>1287</v>
      </c>
      <c r="B636" s="2" t="s">
        <v>1288</v>
      </c>
      <c r="C636" s="2" t="s">
        <v>27</v>
      </c>
      <c r="D636" s="3">
        <v>46155.255543981482</v>
      </c>
      <c r="E636" s="3">
        <v>46155.26457175926</v>
      </c>
      <c r="F636" s="9">
        <f>IF($K636="cancelled"," ",(quick_commerce_orders[[#This Row],[delivery_time]]-quick_commerce_orders[[#This Row],[order_time]])*1440)</f>
        <v>13.000000000465661</v>
      </c>
      <c r="G636" s="2">
        <v>1205.98</v>
      </c>
      <c r="H636" s="2" t="str">
        <f>IF(quick_commerce_orders[[#This Row],[order_value]]&lt;500,"Low",IF(quick_commerce_orders[[#This Row],[order_value]]&gt;1500,"High","Moderate"))</f>
        <v>Moderate</v>
      </c>
      <c r="I6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36" s="2" t="s">
        <v>20</v>
      </c>
      <c r="K636" s="2" t="s">
        <v>16</v>
      </c>
    </row>
    <row r="637" spans="1:11" x14ac:dyDescent="0.2">
      <c r="A637" s="2" t="s">
        <v>1289</v>
      </c>
      <c r="B637" s="2" t="s">
        <v>1290</v>
      </c>
      <c r="C637" s="2" t="s">
        <v>31</v>
      </c>
      <c r="D637" s="3">
        <v>46168.270740740743</v>
      </c>
      <c r="E637" s="3">
        <v>46168.278379629628</v>
      </c>
      <c r="F637" s="9">
        <f>IF($K637="cancelled"," ",(quick_commerce_orders[[#This Row],[delivery_time]]-quick_commerce_orders[[#This Row],[order_time]])*1440)</f>
        <v>10.999999993946403</v>
      </c>
      <c r="G637" s="2">
        <v>508.92</v>
      </c>
      <c r="H637" s="2" t="str">
        <f>IF(quick_commerce_orders[[#This Row],[order_value]]&lt;500,"Low",IF(quick_commerce_orders[[#This Row],[order_value]]&gt;1500,"High","Moderate"))</f>
        <v>Moderate</v>
      </c>
      <c r="I6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37" s="2" t="s">
        <v>28</v>
      </c>
      <c r="K637" s="2" t="s">
        <v>16</v>
      </c>
    </row>
    <row r="638" spans="1:11" x14ac:dyDescent="0.2">
      <c r="A638" s="2" t="s">
        <v>1291</v>
      </c>
      <c r="B638" s="2" t="s">
        <v>1292</v>
      </c>
      <c r="C638" s="2" t="s">
        <v>75</v>
      </c>
      <c r="D638" s="3">
        <v>46155.931319444448</v>
      </c>
      <c r="E638" s="3">
        <v>46155.967430555553</v>
      </c>
      <c r="F638" s="9">
        <f>IF($K638="cancelled"," ",(quick_commerce_orders[[#This Row],[delivery_time]]-quick_commerce_orders[[#This Row],[order_time]])*1440)</f>
        <v>51.999999991385266</v>
      </c>
      <c r="G638" s="2">
        <v>1942.06</v>
      </c>
      <c r="H638" s="2" t="str">
        <f>IF(quick_commerce_orders[[#This Row],[order_value]]&lt;500,"Low",IF(quick_commerce_orders[[#This Row],[order_value]]&gt;1500,"High","Moderate"))</f>
        <v>High</v>
      </c>
      <c r="I6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38" s="2" t="s">
        <v>39</v>
      </c>
      <c r="K638" s="2" t="s">
        <v>12</v>
      </c>
    </row>
    <row r="639" spans="1:11" x14ac:dyDescent="0.2">
      <c r="A639" s="2" t="s">
        <v>1293</v>
      </c>
      <c r="B639" s="2" t="s">
        <v>1294</v>
      </c>
      <c r="C639" s="2" t="s">
        <v>19</v>
      </c>
      <c r="D639" s="3">
        <v>46169.083101851851</v>
      </c>
      <c r="E639" s="3">
        <v>46169.096990740742</v>
      </c>
      <c r="F639" s="9">
        <f>IF($K639="cancelled"," ",(quick_commerce_orders[[#This Row],[delivery_time]]-quick_commerce_orders[[#This Row],[order_time]])*1440)</f>
        <v>20.000000002328306</v>
      </c>
      <c r="G639" s="2">
        <v>1549.66</v>
      </c>
      <c r="H639" s="2" t="str">
        <f>IF(quick_commerce_orders[[#This Row],[order_value]]&lt;500,"Low",IF(quick_commerce_orders[[#This Row],[order_value]]&gt;1500,"High","Moderate"))</f>
        <v>High</v>
      </c>
      <c r="I6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39" s="2" t="s">
        <v>39</v>
      </c>
      <c r="K639" s="2" t="s">
        <v>16</v>
      </c>
    </row>
    <row r="640" spans="1:11" x14ac:dyDescent="0.2">
      <c r="A640" s="2" t="s">
        <v>1295</v>
      </c>
      <c r="B640" s="2" t="s">
        <v>1296</v>
      </c>
      <c r="C640" s="2" t="s">
        <v>34</v>
      </c>
      <c r="D640" s="3">
        <v>46150.603958333333</v>
      </c>
      <c r="E640" s="3">
        <v>46150.617152777777</v>
      </c>
      <c r="F640" s="9">
        <f>IF($K640="cancelled"," ",(quick_commerce_orders[[#This Row],[delivery_time]]-quick_commerce_orders[[#This Row],[order_time]])*1440)</f>
        <v>18.999999999068677</v>
      </c>
      <c r="G640" s="2">
        <v>404.75</v>
      </c>
      <c r="H640" s="2" t="str">
        <f>IF(quick_commerce_orders[[#This Row],[order_value]]&lt;500,"Low",IF(quick_commerce_orders[[#This Row],[order_value]]&gt;1500,"High","Moderate"))</f>
        <v>Low</v>
      </c>
      <c r="I6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0" s="2" t="s">
        <v>28</v>
      </c>
      <c r="K640" s="2" t="s">
        <v>16</v>
      </c>
    </row>
    <row r="641" spans="1:11" x14ac:dyDescent="0.2">
      <c r="A641" s="2" t="s">
        <v>1297</v>
      </c>
      <c r="B641" s="2" t="s">
        <v>1298</v>
      </c>
      <c r="C641" s="2" t="s">
        <v>75</v>
      </c>
      <c r="D641" s="3">
        <v>46151.625381944446</v>
      </c>
      <c r="E641" s="3">
        <v>46151.660798611112</v>
      </c>
      <c r="F641" s="9">
        <f>IF($K641="cancelled"," ",(quick_commerce_orders[[#This Row],[delivery_time]]-quick_commerce_orders[[#This Row],[order_time]])*1440)</f>
        <v>50.999999998603016</v>
      </c>
      <c r="G641" s="2">
        <v>346.04</v>
      </c>
      <c r="H641" s="2" t="str">
        <f>IF(quick_commerce_orders[[#This Row],[order_value]]&lt;500,"Low",IF(quick_commerce_orders[[#This Row],[order_value]]&gt;1500,"High","Moderate"))</f>
        <v>Low</v>
      </c>
      <c r="I6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1" s="2" t="s">
        <v>80</v>
      </c>
      <c r="K641" s="2" t="s">
        <v>12</v>
      </c>
    </row>
    <row r="642" spans="1:11" x14ac:dyDescent="0.2">
      <c r="A642" s="2" t="s">
        <v>1299</v>
      </c>
      <c r="B642" s="2" t="s">
        <v>1300</v>
      </c>
      <c r="C642" s="2" t="s">
        <v>27</v>
      </c>
      <c r="D642" s="3">
        <v>46146.749618055554</v>
      </c>
      <c r="E642" s="3">
        <v>46146.776006944441</v>
      </c>
      <c r="F642" s="9">
        <f>IF($K642="cancelled"," ",(quick_commerce_orders[[#This Row],[delivery_time]]-quick_commerce_orders[[#This Row],[order_time]])*1440)</f>
        <v>37.999999998137355</v>
      </c>
      <c r="G642" s="2">
        <v>2061.13</v>
      </c>
      <c r="H642" s="2" t="str">
        <f>IF(quick_commerce_orders[[#This Row],[order_value]]&lt;500,"Low",IF(quick_commerce_orders[[#This Row],[order_value]]&gt;1500,"High","Moderate"))</f>
        <v>High</v>
      </c>
      <c r="I6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2" s="2" t="s">
        <v>80</v>
      </c>
      <c r="K642" s="2" t="s">
        <v>12</v>
      </c>
    </row>
    <row r="643" spans="1:11" x14ac:dyDescent="0.2">
      <c r="A643" s="2" t="s">
        <v>1301</v>
      </c>
      <c r="B643" s="2" t="s">
        <v>1302</v>
      </c>
      <c r="C643" s="2" t="s">
        <v>10</v>
      </c>
      <c r="D643" s="3">
        <v>46173.701365740744</v>
      </c>
      <c r="E643" s="3">
        <v>46173.711782407408</v>
      </c>
      <c r="F643" s="9">
        <f>IF($K643="cancelled"," ",(quick_commerce_orders[[#This Row],[delivery_time]]-quick_commerce_orders[[#This Row],[order_time]])*1440)</f>
        <v>14.99999999650754</v>
      </c>
      <c r="G643" s="2">
        <v>2011.22</v>
      </c>
      <c r="H643" s="2" t="str">
        <f>IF(quick_commerce_orders[[#This Row],[order_value]]&lt;500,"Low",IF(quick_commerce_orders[[#This Row],[order_value]]&gt;1500,"High","Moderate"))</f>
        <v>High</v>
      </c>
      <c r="I6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3" s="2" t="s">
        <v>11</v>
      </c>
      <c r="K643" s="2" t="s">
        <v>16</v>
      </c>
    </row>
    <row r="644" spans="1:11" x14ac:dyDescent="0.2">
      <c r="A644" s="2" t="s">
        <v>1303</v>
      </c>
      <c r="B644" s="2" t="s">
        <v>1304</v>
      </c>
      <c r="C644" s="2" t="s">
        <v>75</v>
      </c>
      <c r="D644" s="3">
        <v>46154.942488425928</v>
      </c>
      <c r="E644" s="3">
        <v>46154.952905092592</v>
      </c>
      <c r="F644" s="9">
        <f>IF($K644="cancelled"," ",(quick_commerce_orders[[#This Row],[delivery_time]]-quick_commerce_orders[[#This Row],[order_time]])*1440)</f>
        <v>14.99999999650754</v>
      </c>
      <c r="G644" s="2">
        <v>881.09</v>
      </c>
      <c r="H644" s="2" t="str">
        <f>IF(quick_commerce_orders[[#This Row],[order_value]]&lt;500,"Low",IF(quick_commerce_orders[[#This Row],[order_value]]&gt;1500,"High","Moderate"))</f>
        <v>Moderate</v>
      </c>
      <c r="I6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4" s="2" t="s">
        <v>11</v>
      </c>
      <c r="K644" s="2" t="s">
        <v>16</v>
      </c>
    </row>
    <row r="645" spans="1:11" x14ac:dyDescent="0.2">
      <c r="A645" s="2" t="s">
        <v>1305</v>
      </c>
      <c r="B645" s="2" t="s">
        <v>1306</v>
      </c>
      <c r="C645" s="2" t="s">
        <v>31</v>
      </c>
      <c r="D645" s="3">
        <v>46151.142152777778</v>
      </c>
      <c r="E645" s="3">
        <v>46151.153263888889</v>
      </c>
      <c r="F645" s="9">
        <f>IF($K645="cancelled"," ",(quick_commerce_orders[[#This Row],[delivery_time]]-quick_commerce_orders[[#This Row],[order_time]])*1440)</f>
        <v>15.999999999767169</v>
      </c>
      <c r="G645" s="2">
        <v>1657.68</v>
      </c>
      <c r="H645" s="2" t="str">
        <f>IF(quick_commerce_orders[[#This Row],[order_value]]&lt;500,"Low",IF(quick_commerce_orders[[#This Row],[order_value]]&gt;1500,"High","Moderate"))</f>
        <v>High</v>
      </c>
      <c r="I6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45" s="2" t="s">
        <v>20</v>
      </c>
      <c r="K645" s="2" t="s">
        <v>16</v>
      </c>
    </row>
    <row r="646" spans="1:11" x14ac:dyDescent="0.2">
      <c r="A646" s="2" t="s">
        <v>1307</v>
      </c>
      <c r="B646" s="2" t="s">
        <v>1308</v>
      </c>
      <c r="C646" s="2" t="s">
        <v>27</v>
      </c>
      <c r="D646" s="3">
        <v>46163.705833333333</v>
      </c>
      <c r="E646" s="3">
        <v>46163.711388888885</v>
      </c>
      <c r="F646" s="9">
        <f>IF($K646="cancelled"," ",(quick_commerce_orders[[#This Row],[delivery_time]]-quick_commerce_orders[[#This Row],[order_time]])*1440)</f>
        <v>7.9999999946448952</v>
      </c>
      <c r="G646" s="2">
        <v>2000.83</v>
      </c>
      <c r="H646" s="2" t="str">
        <f>IF(quick_commerce_orders[[#This Row],[order_value]]&lt;500,"Low",IF(quick_commerce_orders[[#This Row],[order_value]]&gt;1500,"High","Moderate"))</f>
        <v>High</v>
      </c>
      <c r="I6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6" s="2" t="s">
        <v>39</v>
      </c>
      <c r="K646" s="2" t="s">
        <v>16</v>
      </c>
    </row>
    <row r="647" spans="1:11" x14ac:dyDescent="0.2">
      <c r="A647" s="2" t="s">
        <v>1309</v>
      </c>
      <c r="B647" s="2" t="s">
        <v>1310</v>
      </c>
      <c r="C647" s="2" t="s">
        <v>31</v>
      </c>
      <c r="D647" s="3">
        <v>46169.832453703704</v>
      </c>
      <c r="E647" s="3">
        <v>46169.841481481482</v>
      </c>
      <c r="F647" s="9">
        <f>IF($K647="cancelled"," ",(quick_commerce_orders[[#This Row],[delivery_time]]-quick_commerce_orders[[#This Row],[order_time]])*1440)</f>
        <v>13.000000000465661</v>
      </c>
      <c r="G647" s="2">
        <v>1377.59</v>
      </c>
      <c r="H647" s="2" t="str">
        <f>IF(quick_commerce_orders[[#This Row],[order_value]]&lt;500,"Low",IF(quick_commerce_orders[[#This Row],[order_value]]&gt;1500,"High","Moderate"))</f>
        <v>Moderate</v>
      </c>
      <c r="I6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7" s="2" t="s">
        <v>11</v>
      </c>
      <c r="K647" s="2" t="s">
        <v>16</v>
      </c>
    </row>
    <row r="648" spans="1:11" x14ac:dyDescent="0.2">
      <c r="A648" s="2" t="s">
        <v>1311</v>
      </c>
      <c r="B648" s="2" t="s">
        <v>1312</v>
      </c>
      <c r="C648" s="2" t="s">
        <v>75</v>
      </c>
      <c r="D648" s="3">
        <v>46158.350937499999</v>
      </c>
      <c r="E648" s="3">
        <v>46158.357881944445</v>
      </c>
      <c r="F648" s="9">
        <f>IF($K648="cancelled"," ",(quick_commerce_orders[[#This Row],[delivery_time]]-quick_commerce_orders[[#This Row],[order_time]])*1440)</f>
        <v>10.000000001164153</v>
      </c>
      <c r="G648" s="2">
        <v>1060.96</v>
      </c>
      <c r="H648" s="2" t="str">
        <f>IF(quick_commerce_orders[[#This Row],[order_value]]&lt;500,"Low",IF(quick_commerce_orders[[#This Row],[order_value]]&gt;1500,"High","Moderate"))</f>
        <v>Moderate</v>
      </c>
      <c r="I6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48" s="2" t="s">
        <v>11</v>
      </c>
      <c r="K648" s="2" t="s">
        <v>16</v>
      </c>
    </row>
    <row r="649" spans="1:11" x14ac:dyDescent="0.2">
      <c r="A649" s="2" t="s">
        <v>1313</v>
      </c>
      <c r="B649" s="2" t="s">
        <v>1314</v>
      </c>
      <c r="C649" s="2" t="s">
        <v>53</v>
      </c>
      <c r="D649" s="3">
        <v>46161.618842592594</v>
      </c>
      <c r="E649" s="3">
        <v>46161.630648148152</v>
      </c>
      <c r="F649" s="9">
        <f>IF($K649="cancelled"," ",(quick_commerce_orders[[#This Row],[delivery_time]]-quick_commerce_orders[[#This Row],[order_time]])*1440)</f>
        <v>17.000000003026798</v>
      </c>
      <c r="G649" s="2">
        <v>1091.26</v>
      </c>
      <c r="H649" s="2" t="str">
        <f>IF(quick_commerce_orders[[#This Row],[order_value]]&lt;500,"Low",IF(quick_commerce_orders[[#This Row],[order_value]]&gt;1500,"High","Moderate"))</f>
        <v>Moderate</v>
      </c>
      <c r="I6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49" s="2" t="s">
        <v>80</v>
      </c>
      <c r="K649" s="2" t="s">
        <v>16</v>
      </c>
    </row>
    <row r="650" spans="1:11" x14ac:dyDescent="0.2">
      <c r="A650" s="2" t="s">
        <v>1315</v>
      </c>
      <c r="B650" s="2" t="s">
        <v>1316</v>
      </c>
      <c r="C650" s="2" t="s">
        <v>31</v>
      </c>
      <c r="D650" s="3">
        <v>46151.568564814814</v>
      </c>
      <c r="E650" s="3">
        <v>46151.575509259259</v>
      </c>
      <c r="F650" s="9">
        <f>IF($K650="cancelled"," ",(quick_commerce_orders[[#This Row],[delivery_time]]-quick_commerce_orders[[#This Row],[order_time]])*1440)</f>
        <v>10.000000001164153</v>
      </c>
      <c r="G650" s="2">
        <v>1589.1</v>
      </c>
      <c r="H650" s="2" t="str">
        <f>IF(quick_commerce_orders[[#This Row],[order_value]]&lt;500,"Low",IF(quick_commerce_orders[[#This Row],[order_value]]&gt;1500,"High","Moderate"))</f>
        <v>High</v>
      </c>
      <c r="I6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0" s="2" t="s">
        <v>20</v>
      </c>
      <c r="K650" s="2" t="s">
        <v>16</v>
      </c>
    </row>
    <row r="651" spans="1:11" x14ac:dyDescent="0.2">
      <c r="A651" s="2" t="s">
        <v>1317</v>
      </c>
      <c r="B651" s="2" t="s">
        <v>1318</v>
      </c>
      <c r="C651" s="2" t="s">
        <v>19</v>
      </c>
      <c r="D651" s="3">
        <v>46162.941608796296</v>
      </c>
      <c r="E651" s="3">
        <v>46162.949942129628</v>
      </c>
      <c r="F651" s="9">
        <f>IF($K651="cancelled"," ",(quick_commerce_orders[[#This Row],[delivery_time]]-quick_commerce_orders[[#This Row],[order_time]])*1440)</f>
        <v>11.999999997206032</v>
      </c>
      <c r="G651" s="2">
        <v>1414.08</v>
      </c>
      <c r="H651" s="2" t="str">
        <f>IF(quick_commerce_orders[[#This Row],[order_value]]&lt;500,"Low",IF(quick_commerce_orders[[#This Row],[order_value]]&gt;1500,"High","Moderate"))</f>
        <v>Moderate</v>
      </c>
      <c r="I6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1" s="2" t="s">
        <v>28</v>
      </c>
      <c r="K651" s="2" t="s">
        <v>16</v>
      </c>
    </row>
    <row r="652" spans="1:11" x14ac:dyDescent="0.2">
      <c r="A652" s="2" t="s">
        <v>1319</v>
      </c>
      <c r="B652" s="2" t="s">
        <v>1320</v>
      </c>
      <c r="C652" s="2" t="s">
        <v>19</v>
      </c>
      <c r="D652" s="3">
        <v>46163.949988425928</v>
      </c>
      <c r="E652" s="3">
        <v>46163.963182870371</v>
      </c>
      <c r="F652" s="9">
        <f>IF($K652="cancelled"," ",(quick_commerce_orders[[#This Row],[delivery_time]]-quick_commerce_orders[[#This Row],[order_time]])*1440)</f>
        <v>18.999999999068677</v>
      </c>
      <c r="G652" s="2">
        <v>2436.34</v>
      </c>
      <c r="H652" s="2" t="str">
        <f>IF(quick_commerce_orders[[#This Row],[order_value]]&lt;500,"Low",IF(quick_commerce_orders[[#This Row],[order_value]]&gt;1500,"High","Moderate"))</f>
        <v>High</v>
      </c>
      <c r="I6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2" s="2" t="s">
        <v>20</v>
      </c>
      <c r="K652" s="2" t="s">
        <v>16</v>
      </c>
    </row>
    <row r="653" spans="1:11" x14ac:dyDescent="0.2">
      <c r="A653" s="2" t="s">
        <v>1321</v>
      </c>
      <c r="B653" s="2" t="s">
        <v>1322</v>
      </c>
      <c r="C653" s="2" t="s">
        <v>34</v>
      </c>
      <c r="D653" s="3">
        <v>46156.259479166663</v>
      </c>
      <c r="E653" s="3">
        <v>46156.27684027778</v>
      </c>
      <c r="F653" s="9">
        <f>IF($K653="cancelled"," ",(quick_commerce_orders[[#This Row],[delivery_time]]-quick_commerce_orders[[#This Row],[order_time]])*1440)</f>
        <v>25.000000008149073</v>
      </c>
      <c r="G653" s="2">
        <v>1020.16</v>
      </c>
      <c r="H653" s="2" t="str">
        <f>IF(quick_commerce_orders[[#This Row],[order_value]]&lt;500,"Low",IF(quick_commerce_orders[[#This Row],[order_value]]&gt;1500,"High","Moderate"))</f>
        <v>Moderate</v>
      </c>
      <c r="I6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53" s="2" t="s">
        <v>11</v>
      </c>
      <c r="K653" s="2" t="s">
        <v>12</v>
      </c>
    </row>
    <row r="654" spans="1:11" x14ac:dyDescent="0.2">
      <c r="A654" s="2" t="s">
        <v>1323</v>
      </c>
      <c r="B654" s="2" t="s">
        <v>1324</v>
      </c>
      <c r="C654" s="2" t="s">
        <v>19</v>
      </c>
      <c r="D654" s="3">
        <v>46161.890949074077</v>
      </c>
      <c r="E654" s="3">
        <v>46161.901365740741</v>
      </c>
      <c r="F654" s="9">
        <f>IF($K654="cancelled"," ",(quick_commerce_orders[[#This Row],[delivery_time]]-quick_commerce_orders[[#This Row],[order_time]])*1440)</f>
        <v>14.99999999650754</v>
      </c>
      <c r="G654" s="2">
        <v>916.71</v>
      </c>
      <c r="H654" s="2" t="str">
        <f>IF(quick_commerce_orders[[#This Row],[order_value]]&lt;500,"Low",IF(quick_commerce_orders[[#This Row],[order_value]]&gt;1500,"High","Moderate"))</f>
        <v>Moderate</v>
      </c>
      <c r="I6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4" s="2" t="s">
        <v>11</v>
      </c>
      <c r="K654" s="2" t="s">
        <v>16</v>
      </c>
    </row>
    <row r="655" spans="1:11" x14ac:dyDescent="0.2">
      <c r="A655" s="2" t="s">
        <v>1325</v>
      </c>
      <c r="B655" s="2" t="s">
        <v>1326</v>
      </c>
      <c r="C655" s="2" t="s">
        <v>31</v>
      </c>
      <c r="D655" s="3">
        <v>46151.9452662037</v>
      </c>
      <c r="E655" s="3">
        <v>46151.959155092591</v>
      </c>
      <c r="F655" s="9">
        <f>IF($K655="cancelled"," ",(quick_commerce_orders[[#This Row],[delivery_time]]-quick_commerce_orders[[#This Row],[order_time]])*1440)</f>
        <v>20.000000002328306</v>
      </c>
      <c r="G655" s="2">
        <v>2052.4</v>
      </c>
      <c r="H655" s="2" t="str">
        <f>IF(quick_commerce_orders[[#This Row],[order_value]]&lt;500,"Low",IF(quick_commerce_orders[[#This Row],[order_value]]&gt;1500,"High","Moderate"))</f>
        <v>High</v>
      </c>
      <c r="I6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5" s="2" t="s">
        <v>28</v>
      </c>
      <c r="K655" s="2" t="s">
        <v>16</v>
      </c>
    </row>
    <row r="656" spans="1:11" x14ac:dyDescent="0.2">
      <c r="A656" s="2" t="s">
        <v>1327</v>
      </c>
      <c r="B656" s="2" t="s">
        <v>1328</v>
      </c>
      <c r="C656" s="2" t="s">
        <v>42</v>
      </c>
      <c r="D656" s="3">
        <v>46163.922083333331</v>
      </c>
      <c r="E656" s="3">
        <v>46163.934583333335</v>
      </c>
      <c r="F656" s="9">
        <f>IF($K656="cancelled"," ",(quick_commerce_orders[[#This Row],[delivery_time]]-quick_commerce_orders[[#This Row],[order_time]])*1440)</f>
        <v>18.000000006286427</v>
      </c>
      <c r="G656" s="2">
        <v>1517.33</v>
      </c>
      <c r="H656" s="2" t="str">
        <f>IF(quick_commerce_orders[[#This Row],[order_value]]&lt;500,"Low",IF(quick_commerce_orders[[#This Row],[order_value]]&gt;1500,"High","Moderate"))</f>
        <v>High</v>
      </c>
      <c r="I6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6" s="2" t="s">
        <v>39</v>
      </c>
      <c r="K656" s="2" t="s">
        <v>16</v>
      </c>
    </row>
    <row r="657" spans="1:11" x14ac:dyDescent="0.2">
      <c r="A657" s="2" t="s">
        <v>1329</v>
      </c>
      <c r="B657" s="2" t="s">
        <v>1330</v>
      </c>
      <c r="C657" s="2" t="s">
        <v>34</v>
      </c>
      <c r="D657" s="3">
        <v>46165.729594907411</v>
      </c>
      <c r="E657" s="3">
        <v>46165.738622685189</v>
      </c>
      <c r="F657" s="9">
        <f>IF($K657="cancelled"," ",(quick_commerce_orders[[#This Row],[delivery_time]]-quick_commerce_orders[[#This Row],[order_time]])*1440)</f>
        <v>13.000000000465661</v>
      </c>
      <c r="G657" s="2">
        <v>1981.35</v>
      </c>
      <c r="H657" s="2" t="str">
        <f>IF(quick_commerce_orders[[#This Row],[order_value]]&lt;500,"Low",IF(quick_commerce_orders[[#This Row],[order_value]]&gt;1500,"High","Moderate"))</f>
        <v>High</v>
      </c>
      <c r="I6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7" s="2" t="s">
        <v>39</v>
      </c>
      <c r="K657" s="2" t="s">
        <v>16</v>
      </c>
    </row>
    <row r="658" spans="1:11" x14ac:dyDescent="0.2">
      <c r="A658" s="2" t="s">
        <v>1331</v>
      </c>
      <c r="B658" s="2" t="s">
        <v>1332</v>
      </c>
      <c r="C658" s="2" t="s">
        <v>34</v>
      </c>
      <c r="D658" s="3">
        <v>46169.90829861111</v>
      </c>
      <c r="E658" s="3">
        <v>46169.917326388888</v>
      </c>
      <c r="F658" s="9">
        <f>IF($K658="cancelled"," ",(quick_commerce_orders[[#This Row],[delivery_time]]-quick_commerce_orders[[#This Row],[order_time]])*1440)</f>
        <v>13.000000000465661</v>
      </c>
      <c r="G658" s="2">
        <v>1143.8499999999999</v>
      </c>
      <c r="H658" s="2" t="str">
        <f>IF(quick_commerce_orders[[#This Row],[order_value]]&lt;500,"Low",IF(quick_commerce_orders[[#This Row],[order_value]]&gt;1500,"High","Moderate"))</f>
        <v>Moderate</v>
      </c>
      <c r="I6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8" s="2" t="s">
        <v>80</v>
      </c>
      <c r="K658" s="2" t="s">
        <v>16</v>
      </c>
    </row>
    <row r="659" spans="1:11" x14ac:dyDescent="0.2">
      <c r="A659" s="2" t="s">
        <v>1333</v>
      </c>
      <c r="B659" s="2" t="s">
        <v>838</v>
      </c>
      <c r="C659" s="2" t="s">
        <v>31</v>
      </c>
      <c r="D659" s="3">
        <v>46161.57708333333</v>
      </c>
      <c r="E659" s="3">
        <v>46161.584722222222</v>
      </c>
      <c r="F659" s="9">
        <f>IF($K659="cancelled"," ",(quick_commerce_orders[[#This Row],[delivery_time]]-quick_commerce_orders[[#This Row],[order_time]])*1440)</f>
        <v>11.000000004423782</v>
      </c>
      <c r="G659" s="2">
        <v>1988.58</v>
      </c>
      <c r="H659" s="2" t="str">
        <f>IF(quick_commerce_orders[[#This Row],[order_value]]&lt;500,"Low",IF(quick_commerce_orders[[#This Row],[order_value]]&gt;1500,"High","Moderate"))</f>
        <v>High</v>
      </c>
      <c r="I6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59" s="2" t="s">
        <v>20</v>
      </c>
      <c r="K659" s="2" t="s">
        <v>16</v>
      </c>
    </row>
    <row r="660" spans="1:11" x14ac:dyDescent="0.2">
      <c r="A660" s="2" t="s">
        <v>1334</v>
      </c>
      <c r="B660" s="2" t="s">
        <v>1335</v>
      </c>
      <c r="C660" s="2" t="s">
        <v>75</v>
      </c>
      <c r="D660" s="3">
        <v>46149.016770833332</v>
      </c>
      <c r="E660" s="3"/>
      <c r="F660" s="9" t="str">
        <f>IF($K660="cancelled"," ",(quick_commerce_orders[[#This Row],[delivery_time]]-quick_commerce_orders[[#This Row],[order_time]])*1440)</f>
        <v xml:space="preserve"> </v>
      </c>
      <c r="G660" s="2">
        <v>1405.86</v>
      </c>
      <c r="H660" s="2" t="str">
        <f>IF(quick_commerce_orders[[#This Row],[order_value]]&lt;500,"Low",IF(quick_commerce_orders[[#This Row],[order_value]]&gt;1500,"High","Moderate"))</f>
        <v>Moderate</v>
      </c>
      <c r="I6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0" s="2" t="s">
        <v>39</v>
      </c>
      <c r="K660" s="2" t="s">
        <v>58</v>
      </c>
    </row>
    <row r="661" spans="1:11" x14ac:dyDescent="0.2">
      <c r="A661" s="2" t="s">
        <v>1336</v>
      </c>
      <c r="B661" s="2" t="s">
        <v>1337</v>
      </c>
      <c r="C661" s="2" t="s">
        <v>53</v>
      </c>
      <c r="D661" s="3">
        <v>46146.877222222225</v>
      </c>
      <c r="E661" s="3">
        <v>46146.886944444443</v>
      </c>
      <c r="F661" s="9">
        <f>IF($K661="cancelled"," ",(quick_commerce_orders[[#This Row],[delivery_time]]-quick_commerce_orders[[#This Row],[order_time]])*1440)</f>
        <v>13.999999993247911</v>
      </c>
      <c r="G661" s="2">
        <v>665.77</v>
      </c>
      <c r="H661" s="2" t="str">
        <f>IF(quick_commerce_orders[[#This Row],[order_value]]&lt;500,"Low",IF(quick_commerce_orders[[#This Row],[order_value]]&gt;1500,"High","Moderate"))</f>
        <v>Moderate</v>
      </c>
      <c r="I6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1" s="2" t="s">
        <v>15</v>
      </c>
      <c r="K661" s="2" t="s">
        <v>16</v>
      </c>
    </row>
    <row r="662" spans="1:11" x14ac:dyDescent="0.2">
      <c r="A662" s="2" t="s">
        <v>1338</v>
      </c>
      <c r="B662" s="2" t="s">
        <v>1339</v>
      </c>
      <c r="C662" s="2" t="s">
        <v>19</v>
      </c>
      <c r="D662" s="3">
        <v>46160.221331018518</v>
      </c>
      <c r="E662" s="3">
        <v>46160.231053240743</v>
      </c>
      <c r="F662" s="9">
        <f>IF($K662="cancelled"," ",(quick_commerce_orders[[#This Row],[delivery_time]]-quick_commerce_orders[[#This Row],[order_time]])*1440)</f>
        <v>14.00000000372529</v>
      </c>
      <c r="G662" s="2">
        <v>1689.27</v>
      </c>
      <c r="H662" s="2" t="str">
        <f>IF(quick_commerce_orders[[#This Row],[order_value]]&lt;500,"Low",IF(quick_commerce_orders[[#This Row],[order_value]]&gt;1500,"High","Moderate"))</f>
        <v>High</v>
      </c>
      <c r="I6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62" s="2" t="s">
        <v>11</v>
      </c>
      <c r="K662" s="2" t="s">
        <v>16</v>
      </c>
    </row>
    <row r="663" spans="1:11" x14ac:dyDescent="0.2">
      <c r="A663" s="2" t="s">
        <v>1340</v>
      </c>
      <c r="B663" s="2" t="s">
        <v>1341</v>
      </c>
      <c r="C663" s="2" t="s">
        <v>53</v>
      </c>
      <c r="D663" s="3">
        <v>46159.203506944446</v>
      </c>
      <c r="E663" s="3">
        <v>46159.238229166665</v>
      </c>
      <c r="F663" s="9">
        <f>IF($K663="cancelled"," ",(quick_commerce_orders[[#This Row],[delivery_time]]-quick_commerce_orders[[#This Row],[order_time]])*1440)</f>
        <v>49.999999995343387</v>
      </c>
      <c r="G663" s="2">
        <v>285.95</v>
      </c>
      <c r="H663" s="2" t="str">
        <f>IF(quick_commerce_orders[[#This Row],[order_value]]&lt;500,"Low",IF(quick_commerce_orders[[#This Row],[order_value]]&gt;1500,"High","Moderate"))</f>
        <v>Low</v>
      </c>
      <c r="I6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63" s="2" t="s">
        <v>80</v>
      </c>
      <c r="K663" s="2" t="s">
        <v>12</v>
      </c>
    </row>
    <row r="664" spans="1:11" x14ac:dyDescent="0.2">
      <c r="A664" s="2" t="s">
        <v>1342</v>
      </c>
      <c r="B664" s="2" t="s">
        <v>1343</v>
      </c>
      <c r="C664" s="2" t="s">
        <v>19</v>
      </c>
      <c r="D664" s="3">
        <v>46161.283726851849</v>
      </c>
      <c r="E664" s="3">
        <v>46161.297615740739</v>
      </c>
      <c r="F664" s="9">
        <f>IF($K664="cancelled"," ",(quick_commerce_orders[[#This Row],[delivery_time]]-quick_commerce_orders[[#This Row],[order_time]])*1440)</f>
        <v>20.000000002328306</v>
      </c>
      <c r="G664" s="2">
        <v>2333.0700000000002</v>
      </c>
      <c r="H664" s="2" t="str">
        <f>IF(quick_commerce_orders[[#This Row],[order_value]]&lt;500,"Low",IF(quick_commerce_orders[[#This Row],[order_value]]&gt;1500,"High","Moderate"))</f>
        <v>High</v>
      </c>
      <c r="I6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64" s="2" t="s">
        <v>15</v>
      </c>
      <c r="K664" s="2" t="s">
        <v>16</v>
      </c>
    </row>
    <row r="665" spans="1:11" x14ac:dyDescent="0.2">
      <c r="A665" s="2" t="s">
        <v>1344</v>
      </c>
      <c r="B665" s="2" t="s">
        <v>1345</v>
      </c>
      <c r="C665" s="2" t="s">
        <v>42</v>
      </c>
      <c r="D665" s="3">
        <v>46145.494768518518</v>
      </c>
      <c r="E665" s="3">
        <v>46145.508657407408</v>
      </c>
      <c r="F665" s="9">
        <f>IF($K665="cancelled"," ",(quick_commerce_orders[[#This Row],[delivery_time]]-quick_commerce_orders[[#This Row],[order_time]])*1440)</f>
        <v>20.000000002328306</v>
      </c>
      <c r="G665" s="2">
        <v>1477.05</v>
      </c>
      <c r="H665" s="2" t="str">
        <f>IF(quick_commerce_orders[[#This Row],[order_value]]&lt;500,"Low",IF(quick_commerce_orders[[#This Row],[order_value]]&gt;1500,"High","Moderate"))</f>
        <v>Moderate</v>
      </c>
      <c r="I6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5" s="2" t="s">
        <v>20</v>
      </c>
      <c r="K665" s="2" t="s">
        <v>16</v>
      </c>
    </row>
    <row r="666" spans="1:11" x14ac:dyDescent="0.2">
      <c r="A666" s="2" t="s">
        <v>1346</v>
      </c>
      <c r="B666" s="2" t="s">
        <v>1347</v>
      </c>
      <c r="C666" s="2" t="s">
        <v>75</v>
      </c>
      <c r="D666" s="3">
        <v>46149.830358796295</v>
      </c>
      <c r="E666" s="3">
        <v>46149.843553240738</v>
      </c>
      <c r="F666" s="9">
        <f>IF($K666="cancelled"," ",(quick_commerce_orders[[#This Row],[delivery_time]]-quick_commerce_orders[[#This Row],[order_time]])*1440)</f>
        <v>18.999999999068677</v>
      </c>
      <c r="G666" s="2">
        <v>1266.9100000000001</v>
      </c>
      <c r="H666" s="2" t="str">
        <f>IF(quick_commerce_orders[[#This Row],[order_value]]&lt;500,"Low",IF(quick_commerce_orders[[#This Row],[order_value]]&gt;1500,"High","Moderate"))</f>
        <v>Moderate</v>
      </c>
      <c r="I6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6" s="2" t="s">
        <v>15</v>
      </c>
      <c r="K666" s="2" t="s">
        <v>16</v>
      </c>
    </row>
    <row r="667" spans="1:11" x14ac:dyDescent="0.2">
      <c r="A667" s="2" t="s">
        <v>1348</v>
      </c>
      <c r="B667" s="2" t="s">
        <v>1349</v>
      </c>
      <c r="C667" s="2" t="s">
        <v>31</v>
      </c>
      <c r="D667" s="3">
        <v>46157.987210648149</v>
      </c>
      <c r="E667" s="3">
        <v>46157.99832175926</v>
      </c>
      <c r="F667" s="9">
        <f>IF($K667="cancelled"," ",(quick_commerce_orders[[#This Row],[delivery_time]]-quick_commerce_orders[[#This Row],[order_time]])*1440)</f>
        <v>15.999999999767169</v>
      </c>
      <c r="G667" s="2">
        <v>1520.19</v>
      </c>
      <c r="H667" s="2" t="str">
        <f>IF(quick_commerce_orders[[#This Row],[order_value]]&lt;500,"Low",IF(quick_commerce_orders[[#This Row],[order_value]]&gt;1500,"High","Moderate"))</f>
        <v>High</v>
      </c>
      <c r="I6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7" s="2" t="s">
        <v>20</v>
      </c>
      <c r="K667" s="2" t="s">
        <v>16</v>
      </c>
    </row>
    <row r="668" spans="1:11" x14ac:dyDescent="0.2">
      <c r="A668" s="2" t="s">
        <v>1350</v>
      </c>
      <c r="B668" s="2" t="s">
        <v>1351</v>
      </c>
      <c r="C668" s="2" t="s">
        <v>53</v>
      </c>
      <c r="D668" s="3">
        <v>46167.314467592594</v>
      </c>
      <c r="E668" s="3"/>
      <c r="F668" s="9" t="str">
        <f>IF($K668="cancelled"," ",(quick_commerce_orders[[#This Row],[delivery_time]]-quick_commerce_orders[[#This Row],[order_time]])*1440)</f>
        <v xml:space="preserve"> </v>
      </c>
      <c r="G668" s="2">
        <v>1209.98</v>
      </c>
      <c r="H668" s="2" t="str">
        <f>IF(quick_commerce_orders[[#This Row],[order_value]]&lt;500,"Low",IF(quick_commerce_orders[[#This Row],[order_value]]&gt;1500,"High","Moderate"))</f>
        <v>Moderate</v>
      </c>
      <c r="I6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8" s="2" t="s">
        <v>80</v>
      </c>
      <c r="K668" s="2" t="s">
        <v>58</v>
      </c>
    </row>
    <row r="669" spans="1:11" x14ac:dyDescent="0.2">
      <c r="A669" s="2" t="s">
        <v>1352</v>
      </c>
      <c r="B669" s="2" t="s">
        <v>1353</v>
      </c>
      <c r="C669" s="2" t="s">
        <v>53</v>
      </c>
      <c r="D669" s="3">
        <v>46161.945868055554</v>
      </c>
      <c r="E669" s="3">
        <v>46161.976423611108</v>
      </c>
      <c r="F669" s="9">
        <f>IF($K669="cancelled"," ",(quick_commerce_orders[[#This Row],[delivery_time]]-quick_commerce_orders[[#This Row],[order_time]])*1440)</f>
        <v>43.999999996740371</v>
      </c>
      <c r="G669" s="2">
        <v>1431.21</v>
      </c>
      <c r="H669" s="2" t="str">
        <f>IF(quick_commerce_orders[[#This Row],[order_value]]&lt;500,"Low",IF(quick_commerce_orders[[#This Row],[order_value]]&gt;1500,"High","Moderate"))</f>
        <v>Moderate</v>
      </c>
      <c r="I6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69" s="2" t="s">
        <v>11</v>
      </c>
      <c r="K669" s="2" t="s">
        <v>12</v>
      </c>
    </row>
    <row r="670" spans="1:11" x14ac:dyDescent="0.2">
      <c r="A670" s="2" t="s">
        <v>1354</v>
      </c>
      <c r="B670" s="2" t="s">
        <v>1355</v>
      </c>
      <c r="C670" s="2" t="s">
        <v>31</v>
      </c>
      <c r="D670" s="3">
        <v>46167.518634259257</v>
      </c>
      <c r="E670" s="3">
        <v>46167.527662037035</v>
      </c>
      <c r="F670" s="9">
        <f>IF($K670="cancelled"," ",(quick_commerce_orders[[#This Row],[delivery_time]]-quick_commerce_orders[[#This Row],[order_time]])*1440)</f>
        <v>13.000000000465661</v>
      </c>
      <c r="G670" s="2">
        <v>2071.86</v>
      </c>
      <c r="H670" s="2" t="str">
        <f>IF(quick_commerce_orders[[#This Row],[order_value]]&lt;500,"Low",IF(quick_commerce_orders[[#This Row],[order_value]]&gt;1500,"High","Moderate"))</f>
        <v>High</v>
      </c>
      <c r="I6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0" s="2" t="s">
        <v>11</v>
      </c>
      <c r="K670" s="2" t="s">
        <v>16</v>
      </c>
    </row>
    <row r="671" spans="1:11" x14ac:dyDescent="0.2">
      <c r="A671" s="2" t="s">
        <v>1356</v>
      </c>
      <c r="B671" s="2" t="s">
        <v>1357</v>
      </c>
      <c r="C671" s="2" t="s">
        <v>75</v>
      </c>
      <c r="D671" s="3">
        <v>46163.710416666669</v>
      </c>
      <c r="E671" s="3">
        <v>46163.722222222219</v>
      </c>
      <c r="F671" s="9">
        <f>IF($K671="cancelled"," ",(quick_commerce_orders[[#This Row],[delivery_time]]-quick_commerce_orders[[#This Row],[order_time]])*1440)</f>
        <v>16.999999992549419</v>
      </c>
      <c r="G671" s="2">
        <v>521.82000000000005</v>
      </c>
      <c r="H671" s="2" t="str">
        <f>IF(quick_commerce_orders[[#This Row],[order_value]]&lt;500,"Low",IF(quick_commerce_orders[[#This Row],[order_value]]&gt;1500,"High","Moderate"))</f>
        <v>Moderate</v>
      </c>
      <c r="I6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1" s="2" t="s">
        <v>20</v>
      </c>
      <c r="K671" s="2" t="s">
        <v>16</v>
      </c>
    </row>
    <row r="672" spans="1:11" x14ac:dyDescent="0.2">
      <c r="A672" s="2" t="s">
        <v>1358</v>
      </c>
      <c r="B672" s="2" t="s">
        <v>1359</v>
      </c>
      <c r="C672" s="2" t="s">
        <v>75</v>
      </c>
      <c r="D672" s="3">
        <v>46159.277719907404</v>
      </c>
      <c r="E672" s="3">
        <v>46159.283275462964</v>
      </c>
      <c r="F672" s="9">
        <f>IF($K672="cancelled"," ",(quick_commerce_orders[[#This Row],[delivery_time]]-quick_commerce_orders[[#This Row],[order_time]])*1440)</f>
        <v>8.0000000051222742</v>
      </c>
      <c r="G672" s="2">
        <v>2393.12</v>
      </c>
      <c r="H672" s="2" t="str">
        <f>IF(quick_commerce_orders[[#This Row],[order_value]]&lt;500,"Low",IF(quick_commerce_orders[[#This Row],[order_value]]&gt;1500,"High","Moderate"))</f>
        <v>High</v>
      </c>
      <c r="I6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72" s="2" t="s">
        <v>11</v>
      </c>
      <c r="K672" s="2" t="s">
        <v>16</v>
      </c>
    </row>
    <row r="673" spans="1:11" x14ac:dyDescent="0.2">
      <c r="A673" s="2" t="s">
        <v>1360</v>
      </c>
      <c r="B673" s="2" t="s">
        <v>1361</v>
      </c>
      <c r="C673" s="2" t="s">
        <v>34</v>
      </c>
      <c r="D673" s="3">
        <v>46171.332407407404</v>
      </c>
      <c r="E673" s="3">
        <v>46171.351157407407</v>
      </c>
      <c r="F673" s="9">
        <f>IF($K673="cancelled"," ",(quick_commerce_orders[[#This Row],[delivery_time]]-quick_commerce_orders[[#This Row],[order_time]])*1440)</f>
        <v>27.000000004190952</v>
      </c>
      <c r="G673" s="2">
        <v>266.06</v>
      </c>
      <c r="H673" s="2" t="str">
        <f>IF(quick_commerce_orders[[#This Row],[order_value]]&lt;500,"Low",IF(quick_commerce_orders[[#This Row],[order_value]]&gt;1500,"High","Moderate"))</f>
        <v>Low</v>
      </c>
      <c r="I6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73" s="2" t="s">
        <v>39</v>
      </c>
      <c r="K673" s="2" t="s">
        <v>12</v>
      </c>
    </row>
    <row r="674" spans="1:11" x14ac:dyDescent="0.2">
      <c r="A674" s="2" t="s">
        <v>1362</v>
      </c>
      <c r="B674" s="2" t="s">
        <v>1363</v>
      </c>
      <c r="C674" s="2" t="s">
        <v>19</v>
      </c>
      <c r="D674" s="3">
        <v>46166.774155092593</v>
      </c>
      <c r="E674" s="3">
        <v>46166.797071759262</v>
      </c>
      <c r="F674" s="9">
        <f>IF($K674="cancelled"," ",(quick_commerce_orders[[#This Row],[delivery_time]]-quick_commerce_orders[[#This Row],[order_time]])*1440)</f>
        <v>33.000000002793968</v>
      </c>
      <c r="G674" s="2">
        <v>359.99</v>
      </c>
      <c r="H674" s="2" t="str">
        <f>IF(quick_commerce_orders[[#This Row],[order_value]]&lt;500,"Low",IF(quick_commerce_orders[[#This Row],[order_value]]&gt;1500,"High","Moderate"))</f>
        <v>Low</v>
      </c>
      <c r="I6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4" s="2" t="s">
        <v>80</v>
      </c>
      <c r="K674" s="2" t="s">
        <v>12</v>
      </c>
    </row>
    <row r="675" spans="1:11" x14ac:dyDescent="0.2">
      <c r="A675" s="2" t="s">
        <v>1364</v>
      </c>
      <c r="B675" s="2" t="s">
        <v>1365</v>
      </c>
      <c r="C675" s="2" t="s">
        <v>42</v>
      </c>
      <c r="D675" s="3">
        <v>46155.966874999998</v>
      </c>
      <c r="E675" s="3">
        <v>46155.973819444444</v>
      </c>
      <c r="F675" s="9">
        <f>IF($K675="cancelled"," ",(quick_commerce_orders[[#This Row],[delivery_time]]-quick_commerce_orders[[#This Row],[order_time]])*1440)</f>
        <v>10.000000001164153</v>
      </c>
      <c r="G675" s="2">
        <v>2052.7600000000002</v>
      </c>
      <c r="H675" s="2" t="str">
        <f>IF(quick_commerce_orders[[#This Row],[order_value]]&lt;500,"Low",IF(quick_commerce_orders[[#This Row],[order_value]]&gt;1500,"High","Moderate"))</f>
        <v>High</v>
      </c>
      <c r="I6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5" s="2" t="s">
        <v>15</v>
      </c>
      <c r="K675" s="2" t="s">
        <v>16</v>
      </c>
    </row>
    <row r="676" spans="1:11" x14ac:dyDescent="0.2">
      <c r="A676" s="2" t="s">
        <v>1366</v>
      </c>
      <c r="B676" s="2" t="s">
        <v>1367</v>
      </c>
      <c r="C676" s="2" t="s">
        <v>34</v>
      </c>
      <c r="D676" s="3">
        <v>46171.238240740742</v>
      </c>
      <c r="E676" s="3">
        <v>46171.24726851852</v>
      </c>
      <c r="F676" s="9">
        <f>IF($K676="cancelled"," ",(quick_commerce_orders[[#This Row],[delivery_time]]-quick_commerce_orders[[#This Row],[order_time]])*1440)</f>
        <v>13.000000000465661</v>
      </c>
      <c r="G676" s="2">
        <v>1950.22</v>
      </c>
      <c r="H676" s="2" t="str">
        <f>IF(quick_commerce_orders[[#This Row],[order_value]]&lt;500,"Low",IF(quick_commerce_orders[[#This Row],[order_value]]&gt;1500,"High","Moderate"))</f>
        <v>High</v>
      </c>
      <c r="I6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76" s="2" t="s">
        <v>11</v>
      </c>
      <c r="K676" s="2" t="s">
        <v>16</v>
      </c>
    </row>
    <row r="677" spans="1:11" x14ac:dyDescent="0.2">
      <c r="A677" s="2" t="s">
        <v>1368</v>
      </c>
      <c r="B677" s="2" t="s">
        <v>1369</v>
      </c>
      <c r="C677" s="2" t="s">
        <v>31</v>
      </c>
      <c r="D677" s="3">
        <v>46154.241342592592</v>
      </c>
      <c r="E677" s="3">
        <v>46154.253148148149</v>
      </c>
      <c r="F677" s="9">
        <f>IF($K677="cancelled"," ",(quick_commerce_orders[[#This Row],[delivery_time]]-quick_commerce_orders[[#This Row],[order_time]])*1440)</f>
        <v>17.000000003026798</v>
      </c>
      <c r="G677" s="2">
        <v>1008.39</v>
      </c>
      <c r="H677" s="2" t="str">
        <f>IF(quick_commerce_orders[[#This Row],[order_value]]&lt;500,"Low",IF(quick_commerce_orders[[#This Row],[order_value]]&gt;1500,"High","Moderate"))</f>
        <v>Moderate</v>
      </c>
      <c r="I6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77" s="2" t="s">
        <v>15</v>
      </c>
      <c r="K677" s="2" t="s">
        <v>16</v>
      </c>
    </row>
    <row r="678" spans="1:11" x14ac:dyDescent="0.2">
      <c r="A678" s="2" t="s">
        <v>1370</v>
      </c>
      <c r="B678" s="2" t="s">
        <v>1371</v>
      </c>
      <c r="C678" s="2" t="s">
        <v>34</v>
      </c>
      <c r="D678" s="3">
        <v>46150.501701388886</v>
      </c>
      <c r="E678" s="3">
        <v>46150.514201388891</v>
      </c>
      <c r="F678" s="9">
        <f>IF($K678="cancelled"," ",(quick_commerce_orders[[#This Row],[delivery_time]]-quick_commerce_orders[[#This Row],[order_time]])*1440)</f>
        <v>18.000000006286427</v>
      </c>
      <c r="G678" s="2">
        <v>1285.31</v>
      </c>
      <c r="H678" s="2" t="str">
        <f>IF(quick_commerce_orders[[#This Row],[order_value]]&lt;500,"Low",IF(quick_commerce_orders[[#This Row],[order_value]]&gt;1500,"High","Moderate"))</f>
        <v>Moderate</v>
      </c>
      <c r="I6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8" s="2" t="s">
        <v>39</v>
      </c>
      <c r="K678" s="2" t="s">
        <v>16</v>
      </c>
    </row>
    <row r="679" spans="1:11" x14ac:dyDescent="0.2">
      <c r="A679" s="2" t="s">
        <v>1372</v>
      </c>
      <c r="B679" s="2" t="s">
        <v>1373</v>
      </c>
      <c r="C679" s="2" t="s">
        <v>27</v>
      </c>
      <c r="D679" s="3">
        <v>46160.719537037039</v>
      </c>
      <c r="E679" s="3">
        <v>46160.733425925922</v>
      </c>
      <c r="F679" s="9">
        <f>IF($K679="cancelled"," ",(quick_commerce_orders[[#This Row],[delivery_time]]-quick_commerce_orders[[#This Row],[order_time]])*1440)</f>
        <v>19.999999991850927</v>
      </c>
      <c r="G679" s="2">
        <v>1683.4</v>
      </c>
      <c r="H679" s="2" t="str">
        <f>IF(quick_commerce_orders[[#This Row],[order_value]]&lt;500,"Low",IF(quick_commerce_orders[[#This Row],[order_value]]&gt;1500,"High","Moderate"))</f>
        <v>High</v>
      </c>
      <c r="I6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79" s="2" t="s">
        <v>80</v>
      </c>
      <c r="K679" s="2" t="s">
        <v>16</v>
      </c>
    </row>
    <row r="680" spans="1:11" x14ac:dyDescent="0.2">
      <c r="A680" s="2" t="s">
        <v>1374</v>
      </c>
      <c r="B680" s="2" t="s">
        <v>1375</v>
      </c>
      <c r="C680" s="2" t="s">
        <v>31</v>
      </c>
      <c r="D680" s="3">
        <v>46153.787685185183</v>
      </c>
      <c r="E680" s="3">
        <v>46153.799490740741</v>
      </c>
      <c r="F680" s="9">
        <f>IF($K680="cancelled"," ",(quick_commerce_orders[[#This Row],[delivery_time]]-quick_commerce_orders[[#This Row],[order_time]])*1440)</f>
        <v>17.000000003026798</v>
      </c>
      <c r="G680" s="2">
        <v>316.27999999999997</v>
      </c>
      <c r="H680" s="2" t="str">
        <f>IF(quick_commerce_orders[[#This Row],[order_value]]&lt;500,"Low",IF(quick_commerce_orders[[#This Row],[order_value]]&gt;1500,"High","Moderate"))</f>
        <v>Low</v>
      </c>
      <c r="I6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80" s="2" t="s">
        <v>28</v>
      </c>
      <c r="K680" s="2" t="s">
        <v>16</v>
      </c>
    </row>
    <row r="681" spans="1:11" x14ac:dyDescent="0.2">
      <c r="A681" s="2" t="s">
        <v>1376</v>
      </c>
      <c r="B681" s="2" t="s">
        <v>1377</v>
      </c>
      <c r="C681" s="2" t="s">
        <v>19</v>
      </c>
      <c r="D681" s="3">
        <v>46143.437326388892</v>
      </c>
      <c r="E681" s="3">
        <v>46143.449131944442</v>
      </c>
      <c r="F681" s="9">
        <f>IF($K681="cancelled"," ",(quick_commerce_orders[[#This Row],[delivery_time]]-quick_commerce_orders[[#This Row],[order_time]])*1440)</f>
        <v>16.999999992549419</v>
      </c>
      <c r="G681" s="2">
        <v>2059.88</v>
      </c>
      <c r="H681" s="2" t="str">
        <f>IF(quick_commerce_orders[[#This Row],[order_value]]&lt;500,"Low",IF(quick_commerce_orders[[#This Row],[order_value]]&gt;1500,"High","Moderate"))</f>
        <v>High</v>
      </c>
      <c r="I6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81" s="2" t="s">
        <v>15</v>
      </c>
      <c r="K681" s="2" t="s">
        <v>16</v>
      </c>
    </row>
    <row r="682" spans="1:11" x14ac:dyDescent="0.2">
      <c r="A682" s="2" t="s">
        <v>1378</v>
      </c>
      <c r="B682" s="2" t="s">
        <v>1379</v>
      </c>
      <c r="C682" s="2" t="s">
        <v>75</v>
      </c>
      <c r="D682" s="3">
        <v>46152.04859953704</v>
      </c>
      <c r="E682" s="3">
        <v>46152.06040509259</v>
      </c>
      <c r="F682" s="9">
        <f>IF($K682="cancelled"," ",(quick_commerce_orders[[#This Row],[delivery_time]]-quick_commerce_orders[[#This Row],[order_time]])*1440)</f>
        <v>16.999999992549419</v>
      </c>
      <c r="G682" s="2">
        <v>2228.4299999999998</v>
      </c>
      <c r="H682" s="2" t="str">
        <f>IF(quick_commerce_orders[[#This Row],[order_value]]&lt;500,"Low",IF(quick_commerce_orders[[#This Row],[order_value]]&gt;1500,"High","Moderate"))</f>
        <v>High</v>
      </c>
      <c r="I6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82" s="2" t="s">
        <v>39</v>
      </c>
      <c r="K682" s="2" t="s">
        <v>16</v>
      </c>
    </row>
    <row r="683" spans="1:11" x14ac:dyDescent="0.2">
      <c r="A683" s="2" t="s">
        <v>1380</v>
      </c>
      <c r="B683" s="2" t="s">
        <v>1381</v>
      </c>
      <c r="C683" s="2" t="s">
        <v>27</v>
      </c>
      <c r="D683" s="3">
        <v>46163.794317129628</v>
      </c>
      <c r="E683" s="3">
        <v>46163.804039351853</v>
      </c>
      <c r="F683" s="9">
        <f>IF($K683="cancelled"," ",(quick_commerce_orders[[#This Row],[delivery_time]]-quick_commerce_orders[[#This Row],[order_time]])*1440)</f>
        <v>14.00000000372529</v>
      </c>
      <c r="G683" s="2">
        <v>2266.81</v>
      </c>
      <c r="H683" s="2" t="str">
        <f>IF(quick_commerce_orders[[#This Row],[order_value]]&lt;500,"Low",IF(quick_commerce_orders[[#This Row],[order_value]]&gt;1500,"High","Moderate"))</f>
        <v>High</v>
      </c>
      <c r="I6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83" s="2" t="s">
        <v>28</v>
      </c>
      <c r="K683" s="2" t="s">
        <v>16</v>
      </c>
    </row>
    <row r="684" spans="1:11" x14ac:dyDescent="0.2">
      <c r="A684" s="2" t="s">
        <v>1382</v>
      </c>
      <c r="B684" s="2" t="s">
        <v>1383</v>
      </c>
      <c r="C684" s="2" t="s">
        <v>53</v>
      </c>
      <c r="D684" s="3">
        <v>46162.660138888888</v>
      </c>
      <c r="E684" s="3">
        <v>46162.694166666668</v>
      </c>
      <c r="F684" s="9">
        <f>IF($K684="cancelled"," ",(quick_commerce_orders[[#This Row],[delivery_time]]-quick_commerce_orders[[#This Row],[order_time]])*1440)</f>
        <v>49.000000002561137</v>
      </c>
      <c r="G684" s="2">
        <v>1625.72</v>
      </c>
      <c r="H684" s="2" t="str">
        <f>IF(quick_commerce_orders[[#This Row],[order_value]]&lt;500,"Low",IF(quick_commerce_orders[[#This Row],[order_value]]&gt;1500,"High","Moderate"))</f>
        <v>High</v>
      </c>
      <c r="I6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84" s="2" t="s">
        <v>80</v>
      </c>
      <c r="K684" s="2" t="s">
        <v>12</v>
      </c>
    </row>
    <row r="685" spans="1:11" x14ac:dyDescent="0.2">
      <c r="A685" s="2" t="s">
        <v>1384</v>
      </c>
      <c r="B685" s="2" t="s">
        <v>1385</v>
      </c>
      <c r="C685" s="2" t="s">
        <v>19</v>
      </c>
      <c r="D685" s="3">
        <v>46165.118576388886</v>
      </c>
      <c r="E685" s="3">
        <v>46165.126215277778</v>
      </c>
      <c r="F685" s="9">
        <f>IF($K685="cancelled"," ",(quick_commerce_orders[[#This Row],[delivery_time]]-quick_commerce_orders[[#This Row],[order_time]])*1440)</f>
        <v>11.000000004423782</v>
      </c>
      <c r="G685" s="2">
        <v>99.44</v>
      </c>
      <c r="H685" s="2" t="str">
        <f>IF(quick_commerce_orders[[#This Row],[order_value]]&lt;500,"Low",IF(quick_commerce_orders[[#This Row],[order_value]]&gt;1500,"High","Moderate"))</f>
        <v>Low</v>
      </c>
      <c r="I6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85" s="2" t="s">
        <v>20</v>
      </c>
      <c r="K685" s="2" t="s">
        <v>16</v>
      </c>
    </row>
    <row r="686" spans="1:11" x14ac:dyDescent="0.2">
      <c r="A686" s="2" t="s">
        <v>1386</v>
      </c>
      <c r="B686" s="2" t="s">
        <v>1387</v>
      </c>
      <c r="C686" s="2" t="s">
        <v>31</v>
      </c>
      <c r="D686" s="3">
        <v>46163.676516203705</v>
      </c>
      <c r="E686" s="3">
        <v>46163.686238425929</v>
      </c>
      <c r="F686" s="9">
        <f>IF($K686="cancelled"," ",(quick_commerce_orders[[#This Row],[delivery_time]]-quick_commerce_orders[[#This Row],[order_time]])*1440)</f>
        <v>14.00000000372529</v>
      </c>
      <c r="G686" s="2">
        <v>451.14</v>
      </c>
      <c r="H686" s="2" t="str">
        <f>IF(quick_commerce_orders[[#This Row],[order_value]]&lt;500,"Low",IF(quick_commerce_orders[[#This Row],[order_value]]&gt;1500,"High","Moderate"))</f>
        <v>Low</v>
      </c>
      <c r="I6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86" s="2" t="s">
        <v>11</v>
      </c>
      <c r="K686" s="2" t="s">
        <v>16</v>
      </c>
    </row>
    <row r="687" spans="1:11" x14ac:dyDescent="0.2">
      <c r="A687" s="2" t="s">
        <v>1388</v>
      </c>
      <c r="B687" s="2" t="s">
        <v>1389</v>
      </c>
      <c r="C687" s="2" t="s">
        <v>42</v>
      </c>
      <c r="D687" s="3">
        <v>46147.67391203704</v>
      </c>
      <c r="E687" s="3">
        <v>46147.680162037039</v>
      </c>
      <c r="F687" s="9">
        <f>IF($K687="cancelled"," ",(quick_commerce_orders[[#This Row],[delivery_time]]-quick_commerce_orders[[#This Row],[order_time]])*1440)</f>
        <v>8.9999999979045242</v>
      </c>
      <c r="G687" s="2">
        <v>457.12</v>
      </c>
      <c r="H687" s="2" t="str">
        <f>IF(quick_commerce_orders[[#This Row],[order_value]]&lt;500,"Low",IF(quick_commerce_orders[[#This Row],[order_value]]&gt;1500,"High","Moderate"))</f>
        <v>Low</v>
      </c>
      <c r="I6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87" s="2" t="s">
        <v>28</v>
      </c>
      <c r="K687" s="2" t="s">
        <v>16</v>
      </c>
    </row>
    <row r="688" spans="1:11" x14ac:dyDescent="0.2">
      <c r="A688" s="2" t="s">
        <v>1390</v>
      </c>
      <c r="B688" s="2" t="s">
        <v>1391</v>
      </c>
      <c r="C688" s="2" t="s">
        <v>27</v>
      </c>
      <c r="D688" s="3">
        <v>46168.098773148151</v>
      </c>
      <c r="E688" s="3">
        <v>46168.109884259262</v>
      </c>
      <c r="F688" s="9">
        <f>IF($K688="cancelled"," ",(quick_commerce_orders[[#This Row],[delivery_time]]-quick_commerce_orders[[#This Row],[order_time]])*1440)</f>
        <v>15.999999999767169</v>
      </c>
      <c r="G688" s="2">
        <v>1374.01</v>
      </c>
      <c r="H688" s="2" t="str">
        <f>IF(quick_commerce_orders[[#This Row],[order_value]]&lt;500,"Low",IF(quick_commerce_orders[[#This Row],[order_value]]&gt;1500,"High","Moderate"))</f>
        <v>Moderate</v>
      </c>
      <c r="I6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88" s="2" t="s">
        <v>80</v>
      </c>
      <c r="K688" s="2" t="s">
        <v>16</v>
      </c>
    </row>
    <row r="689" spans="1:11" x14ac:dyDescent="0.2">
      <c r="A689" s="2" t="s">
        <v>1392</v>
      </c>
      <c r="B689" s="2" t="s">
        <v>1393</v>
      </c>
      <c r="C689" s="2" t="s">
        <v>42</v>
      </c>
      <c r="D689" s="3">
        <v>46156.889826388891</v>
      </c>
      <c r="E689" s="3">
        <v>46156.923854166664</v>
      </c>
      <c r="F689" s="9">
        <f>IF($K689="cancelled"," ",(quick_commerce_orders[[#This Row],[delivery_time]]-quick_commerce_orders[[#This Row],[order_time]])*1440)</f>
        <v>48.999999992083758</v>
      </c>
      <c r="G689" s="2">
        <v>1034.96</v>
      </c>
      <c r="H689" s="2" t="str">
        <f>IF(quick_commerce_orders[[#This Row],[order_value]]&lt;500,"Low",IF(quick_commerce_orders[[#This Row],[order_value]]&gt;1500,"High","Moderate"))</f>
        <v>Moderate</v>
      </c>
      <c r="I6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89" s="2" t="s">
        <v>28</v>
      </c>
      <c r="K689" s="2" t="s">
        <v>12</v>
      </c>
    </row>
    <row r="690" spans="1:11" x14ac:dyDescent="0.2">
      <c r="A690" s="2" t="s">
        <v>1394</v>
      </c>
      <c r="B690" s="2" t="s">
        <v>1395</v>
      </c>
      <c r="C690" s="2" t="s">
        <v>34</v>
      </c>
      <c r="D690" s="3">
        <v>46166.384583333333</v>
      </c>
      <c r="E690" s="3">
        <v>46166.392222222225</v>
      </c>
      <c r="F690" s="9">
        <f>IF($K690="cancelled"," ",(quick_commerce_orders[[#This Row],[delivery_time]]-quick_commerce_orders[[#This Row],[order_time]])*1440)</f>
        <v>11.000000004423782</v>
      </c>
      <c r="G690" s="2">
        <v>1486.04</v>
      </c>
      <c r="H690" s="2" t="str">
        <f>IF(quick_commerce_orders[[#This Row],[order_value]]&lt;500,"Low",IF(quick_commerce_orders[[#This Row],[order_value]]&gt;1500,"High","Moderate"))</f>
        <v>Moderate</v>
      </c>
      <c r="I6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90" s="2" t="s">
        <v>39</v>
      </c>
      <c r="K690" s="2" t="s">
        <v>16</v>
      </c>
    </row>
    <row r="691" spans="1:11" x14ac:dyDescent="0.2">
      <c r="A691" s="2" t="s">
        <v>1396</v>
      </c>
      <c r="B691" s="2" t="s">
        <v>1397</v>
      </c>
      <c r="C691" s="2" t="s">
        <v>27</v>
      </c>
      <c r="D691" s="3">
        <v>46173.745000000003</v>
      </c>
      <c r="E691" s="3">
        <v>46173.755416666667</v>
      </c>
      <c r="F691" s="9">
        <f>IF($K691="cancelled"," ",(quick_commerce_orders[[#This Row],[delivery_time]]-quick_commerce_orders[[#This Row],[order_time]])*1440)</f>
        <v>14.99999999650754</v>
      </c>
      <c r="G691" s="2">
        <v>568.6</v>
      </c>
      <c r="H691" s="2" t="str">
        <f>IF(quick_commerce_orders[[#This Row],[order_value]]&lt;500,"Low",IF(quick_commerce_orders[[#This Row],[order_value]]&gt;1500,"High","Moderate"))</f>
        <v>Moderate</v>
      </c>
      <c r="I6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91" s="2" t="s">
        <v>80</v>
      </c>
      <c r="K691" s="2" t="s">
        <v>16</v>
      </c>
    </row>
    <row r="692" spans="1:11" x14ac:dyDescent="0.2">
      <c r="A692" s="2" t="s">
        <v>1398</v>
      </c>
      <c r="B692" s="2" t="s">
        <v>1399</v>
      </c>
      <c r="C692" s="2" t="s">
        <v>42</v>
      </c>
      <c r="D692" s="3">
        <v>46143.154421296298</v>
      </c>
      <c r="E692" s="3">
        <v>46143.160671296297</v>
      </c>
      <c r="F692" s="9">
        <f>IF($K692="cancelled"," ",(quick_commerce_orders[[#This Row],[delivery_time]]-quick_commerce_orders[[#This Row],[order_time]])*1440)</f>
        <v>8.9999999979045242</v>
      </c>
      <c r="G692" s="2">
        <v>1734.64</v>
      </c>
      <c r="H692" s="2" t="str">
        <f>IF(quick_commerce_orders[[#This Row],[order_value]]&lt;500,"Low",IF(quick_commerce_orders[[#This Row],[order_value]]&gt;1500,"High","Moderate"))</f>
        <v>High</v>
      </c>
      <c r="I6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92" s="2" t="s">
        <v>80</v>
      </c>
      <c r="K692" s="2" t="s">
        <v>16</v>
      </c>
    </row>
    <row r="693" spans="1:11" x14ac:dyDescent="0.2">
      <c r="A693" s="2" t="s">
        <v>1400</v>
      </c>
      <c r="B693" s="2" t="s">
        <v>1401</v>
      </c>
      <c r="C693" s="2" t="s">
        <v>53</v>
      </c>
      <c r="D693" s="3">
        <v>46171.331724537034</v>
      </c>
      <c r="E693" s="3">
        <v>46171.340752314813</v>
      </c>
      <c r="F693" s="9">
        <f>IF($K693="cancelled"," ",(quick_commerce_orders[[#This Row],[delivery_time]]-quick_commerce_orders[[#This Row],[order_time]])*1440)</f>
        <v>13.000000000465661</v>
      </c>
      <c r="G693" s="2">
        <v>858.83</v>
      </c>
      <c r="H693" s="2" t="str">
        <f>IF(quick_commerce_orders[[#This Row],[order_value]]&lt;500,"Low",IF(quick_commerce_orders[[#This Row],[order_value]]&gt;1500,"High","Moderate"))</f>
        <v>Moderate</v>
      </c>
      <c r="I6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693" s="2" t="s">
        <v>20</v>
      </c>
      <c r="K693" s="2" t="s">
        <v>16</v>
      </c>
    </row>
    <row r="694" spans="1:11" x14ac:dyDescent="0.2">
      <c r="A694" s="2" t="s">
        <v>1402</v>
      </c>
      <c r="B694" s="2" t="s">
        <v>1403</v>
      </c>
      <c r="C694" s="2" t="s">
        <v>10</v>
      </c>
      <c r="D694" s="3">
        <v>46158.072175925925</v>
      </c>
      <c r="E694" s="3">
        <v>46158.083981481483</v>
      </c>
      <c r="F694" s="9">
        <f>IF($K694="cancelled"," ",(quick_commerce_orders[[#This Row],[delivery_time]]-quick_commerce_orders[[#This Row],[order_time]])*1440)</f>
        <v>17.000000003026798</v>
      </c>
      <c r="G694" s="2">
        <v>1467.66</v>
      </c>
      <c r="H694" s="2" t="str">
        <f>IF(quick_commerce_orders[[#This Row],[order_value]]&lt;500,"Low",IF(quick_commerce_orders[[#This Row],[order_value]]&gt;1500,"High","Moderate"))</f>
        <v>Moderate</v>
      </c>
      <c r="I6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94" s="2" t="s">
        <v>11</v>
      </c>
      <c r="K694" s="2" t="s">
        <v>16</v>
      </c>
    </row>
    <row r="695" spans="1:11" x14ac:dyDescent="0.2">
      <c r="A695" s="2" t="s">
        <v>1404</v>
      </c>
      <c r="B695" s="2" t="s">
        <v>1405</v>
      </c>
      <c r="C695" s="2" t="s">
        <v>31</v>
      </c>
      <c r="D695" s="3">
        <v>46163.540856481479</v>
      </c>
      <c r="E695" s="3">
        <v>46163.55127314815</v>
      </c>
      <c r="F695" s="9">
        <f>IF($K695="cancelled"," ",(quick_commerce_orders[[#This Row],[delivery_time]]-quick_commerce_orders[[#This Row],[order_time]])*1440)</f>
        <v>15.000000006984919</v>
      </c>
      <c r="G695" s="2">
        <v>2290.69</v>
      </c>
      <c r="H695" s="2" t="str">
        <f>IF(quick_commerce_orders[[#This Row],[order_value]]&lt;500,"Low",IF(quick_commerce_orders[[#This Row],[order_value]]&gt;1500,"High","Moderate"))</f>
        <v>High</v>
      </c>
      <c r="I6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95" s="2" t="s">
        <v>80</v>
      </c>
      <c r="K695" s="2" t="s">
        <v>16</v>
      </c>
    </row>
    <row r="696" spans="1:11" x14ac:dyDescent="0.2">
      <c r="A696" s="2" t="s">
        <v>1406</v>
      </c>
      <c r="B696" s="2" t="s">
        <v>1407</v>
      </c>
      <c r="C696" s="2" t="s">
        <v>31</v>
      </c>
      <c r="D696" s="3">
        <v>46150.511504629627</v>
      </c>
      <c r="E696" s="3">
        <v>46150.524004629631</v>
      </c>
      <c r="F696" s="9">
        <f>IF($K696="cancelled"," ",(quick_commerce_orders[[#This Row],[delivery_time]]-quick_commerce_orders[[#This Row],[order_time]])*1440)</f>
        <v>18.000000006286427</v>
      </c>
      <c r="G696" s="2">
        <v>829.92</v>
      </c>
      <c r="H696" s="2" t="str">
        <f>IF(quick_commerce_orders[[#This Row],[order_value]]&lt;500,"Low",IF(quick_commerce_orders[[#This Row],[order_value]]&gt;1500,"High","Moderate"))</f>
        <v>Moderate</v>
      </c>
      <c r="I6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96" s="2" t="s">
        <v>39</v>
      </c>
      <c r="K696" s="2" t="s">
        <v>16</v>
      </c>
    </row>
    <row r="697" spans="1:11" x14ac:dyDescent="0.2">
      <c r="A697" s="2" t="s">
        <v>1408</v>
      </c>
      <c r="B697" s="2" t="s">
        <v>1409</v>
      </c>
      <c r="C697" s="2" t="s">
        <v>19</v>
      </c>
      <c r="D697" s="3">
        <v>46161.040659722225</v>
      </c>
      <c r="E697" s="3">
        <v>46161.048993055556</v>
      </c>
      <c r="F697" s="9">
        <f>IF($K697="cancelled"," ",(quick_commerce_orders[[#This Row],[delivery_time]]-quick_commerce_orders[[#This Row],[order_time]])*1440)</f>
        <v>11.999999997206032</v>
      </c>
      <c r="G697" s="2">
        <v>2363</v>
      </c>
      <c r="H697" s="2" t="str">
        <f>IF(quick_commerce_orders[[#This Row],[order_value]]&lt;500,"Low",IF(quick_commerce_orders[[#This Row],[order_value]]&gt;1500,"High","Moderate"))</f>
        <v>High</v>
      </c>
      <c r="I6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697" s="2" t="s">
        <v>80</v>
      </c>
      <c r="K697" s="2" t="s">
        <v>16</v>
      </c>
    </row>
    <row r="698" spans="1:11" x14ac:dyDescent="0.2">
      <c r="A698" s="2" t="s">
        <v>1410</v>
      </c>
      <c r="B698" s="2" t="s">
        <v>1411</v>
      </c>
      <c r="C698" s="2" t="s">
        <v>27</v>
      </c>
      <c r="D698" s="3">
        <v>46166.702453703707</v>
      </c>
      <c r="E698" s="3">
        <v>46166.708703703705</v>
      </c>
      <c r="F698" s="9">
        <f>IF($K698="cancelled"," ",(quick_commerce_orders[[#This Row],[delivery_time]]-quick_commerce_orders[[#This Row],[order_time]])*1440)</f>
        <v>8.9999999979045242</v>
      </c>
      <c r="G698" s="2">
        <v>1142.3399999999999</v>
      </c>
      <c r="H698" s="2" t="str">
        <f>IF(quick_commerce_orders[[#This Row],[order_value]]&lt;500,"Low",IF(quick_commerce_orders[[#This Row],[order_value]]&gt;1500,"High","Moderate"))</f>
        <v>Moderate</v>
      </c>
      <c r="I6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98" s="2" t="s">
        <v>80</v>
      </c>
      <c r="K698" s="2" t="s">
        <v>16</v>
      </c>
    </row>
    <row r="699" spans="1:11" x14ac:dyDescent="0.2">
      <c r="A699" s="2" t="s">
        <v>1412</v>
      </c>
      <c r="B699" s="2" t="s">
        <v>1413</v>
      </c>
      <c r="C699" s="2" t="s">
        <v>42</v>
      </c>
      <c r="D699" s="3">
        <v>46171.626597222225</v>
      </c>
      <c r="E699" s="3">
        <v>46171.63354166667</v>
      </c>
      <c r="F699" s="9">
        <f>IF($K699="cancelled"," ",(quick_commerce_orders[[#This Row],[delivery_time]]-quick_commerce_orders[[#This Row],[order_time]])*1440)</f>
        <v>10.000000001164153</v>
      </c>
      <c r="G699" s="2">
        <v>2457.19</v>
      </c>
      <c r="H699" s="2" t="str">
        <f>IF(quick_commerce_orders[[#This Row],[order_value]]&lt;500,"Low",IF(quick_commerce_orders[[#This Row],[order_value]]&gt;1500,"High","Moderate"))</f>
        <v>High</v>
      </c>
      <c r="I6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699" s="2" t="s">
        <v>15</v>
      </c>
      <c r="K699" s="2" t="s">
        <v>16</v>
      </c>
    </row>
    <row r="700" spans="1:11" x14ac:dyDescent="0.2">
      <c r="A700" s="2" t="s">
        <v>1414</v>
      </c>
      <c r="B700" s="2" t="s">
        <v>1415</v>
      </c>
      <c r="C700" s="2" t="s">
        <v>34</v>
      </c>
      <c r="D700" s="3">
        <v>46155.438946759263</v>
      </c>
      <c r="E700" s="3">
        <v>46155.445196759261</v>
      </c>
      <c r="F700" s="9">
        <f>IF($K700="cancelled"," ",(quick_commerce_orders[[#This Row],[delivery_time]]-quick_commerce_orders[[#This Row],[order_time]])*1440)</f>
        <v>8.9999999979045242</v>
      </c>
      <c r="G700" s="2">
        <v>925.24</v>
      </c>
      <c r="H700" s="2" t="str">
        <f>IF(quick_commerce_orders[[#This Row],[order_value]]&lt;500,"Low",IF(quick_commerce_orders[[#This Row],[order_value]]&gt;1500,"High","Moderate"))</f>
        <v>Moderate</v>
      </c>
      <c r="I7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00" s="2" t="s">
        <v>11</v>
      </c>
      <c r="K700" s="2" t="s">
        <v>16</v>
      </c>
    </row>
    <row r="701" spans="1:11" x14ac:dyDescent="0.2">
      <c r="A701" s="2" t="s">
        <v>1416</v>
      </c>
      <c r="B701" s="2" t="s">
        <v>1417</v>
      </c>
      <c r="C701" s="2" t="s">
        <v>31</v>
      </c>
      <c r="D701" s="3">
        <v>46149.242754629631</v>
      </c>
      <c r="E701" s="3">
        <v>46149.284421296295</v>
      </c>
      <c r="F701" s="9">
        <f>IF($K701="cancelled"," ",(quick_commerce_orders[[#This Row],[delivery_time]]-quick_commerce_orders[[#This Row],[order_time]])*1440)</f>
        <v>59.99999999650754</v>
      </c>
      <c r="G701" s="2">
        <v>313.29000000000002</v>
      </c>
      <c r="H701" s="2" t="str">
        <f>IF(quick_commerce_orders[[#This Row],[order_value]]&lt;500,"Low",IF(quick_commerce_orders[[#This Row],[order_value]]&gt;1500,"High","Moderate"))</f>
        <v>Low</v>
      </c>
      <c r="I7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01" s="2" t="s">
        <v>39</v>
      </c>
      <c r="K701" s="2" t="s">
        <v>12</v>
      </c>
    </row>
    <row r="702" spans="1:11" x14ac:dyDescent="0.2">
      <c r="A702" s="2" t="s">
        <v>1418</v>
      </c>
      <c r="B702" s="2" t="s">
        <v>1419</v>
      </c>
      <c r="C702" s="2" t="s">
        <v>31</v>
      </c>
      <c r="D702" s="3">
        <v>46143.836261574077</v>
      </c>
      <c r="E702" s="3">
        <v>46143.843206018515</v>
      </c>
      <c r="F702" s="9">
        <f>IF($K702="cancelled"," ",(quick_commerce_orders[[#This Row],[delivery_time]]-quick_commerce_orders[[#This Row],[order_time]])*1440)</f>
        <v>9.9999999906867743</v>
      </c>
      <c r="G702" s="2">
        <v>118.49</v>
      </c>
      <c r="H702" s="2" t="str">
        <f>IF(quick_commerce_orders[[#This Row],[order_value]]&lt;500,"Low",IF(quick_commerce_orders[[#This Row],[order_value]]&gt;1500,"High","Moderate"))</f>
        <v>Low</v>
      </c>
      <c r="I7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02" s="2" t="s">
        <v>15</v>
      </c>
      <c r="K702" s="2" t="s">
        <v>16</v>
      </c>
    </row>
    <row r="703" spans="1:11" x14ac:dyDescent="0.2">
      <c r="A703" s="2" t="s">
        <v>1420</v>
      </c>
      <c r="B703" s="2" t="s">
        <v>1421</v>
      </c>
      <c r="C703" s="2" t="s">
        <v>34</v>
      </c>
      <c r="D703" s="3">
        <v>46156.894363425927</v>
      </c>
      <c r="E703" s="3">
        <v>46156.899918981479</v>
      </c>
      <c r="F703" s="9">
        <f>IF($K703="cancelled"," ",(quick_commerce_orders[[#This Row],[delivery_time]]-quick_commerce_orders[[#This Row],[order_time]])*1440)</f>
        <v>7.9999999946448952</v>
      </c>
      <c r="G703" s="2">
        <v>2466.41</v>
      </c>
      <c r="H703" s="2" t="str">
        <f>IF(quick_commerce_orders[[#This Row],[order_value]]&lt;500,"Low",IF(quick_commerce_orders[[#This Row],[order_value]]&gt;1500,"High","Moderate"))</f>
        <v>High</v>
      </c>
      <c r="I7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03" s="2" t="s">
        <v>28</v>
      </c>
      <c r="K703" s="2" t="s">
        <v>16</v>
      </c>
    </row>
    <row r="704" spans="1:11" x14ac:dyDescent="0.2">
      <c r="A704" s="2" t="s">
        <v>1422</v>
      </c>
      <c r="B704" s="2" t="s">
        <v>1423</v>
      </c>
      <c r="C704" s="2" t="s">
        <v>53</v>
      </c>
      <c r="D704" s="3">
        <v>46149.274224537039</v>
      </c>
      <c r="E704" s="3">
        <v>46149.287418981483</v>
      </c>
      <c r="F704" s="9">
        <f>IF($K704="cancelled"," ",(quick_commerce_orders[[#This Row],[delivery_time]]-quick_commerce_orders[[#This Row],[order_time]])*1440)</f>
        <v>18.999999999068677</v>
      </c>
      <c r="G704" s="2">
        <v>1069.07</v>
      </c>
      <c r="H704" s="2" t="str">
        <f>IF(quick_commerce_orders[[#This Row],[order_value]]&lt;500,"Low",IF(quick_commerce_orders[[#This Row],[order_value]]&gt;1500,"High","Moderate"))</f>
        <v>Moderate</v>
      </c>
      <c r="I7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04" s="2" t="s">
        <v>11</v>
      </c>
      <c r="K704" s="2" t="s">
        <v>16</v>
      </c>
    </row>
    <row r="705" spans="1:11" x14ac:dyDescent="0.2">
      <c r="A705" s="2" t="s">
        <v>1424</v>
      </c>
      <c r="B705" s="2" t="s">
        <v>1425</v>
      </c>
      <c r="C705" s="2" t="s">
        <v>42</v>
      </c>
      <c r="D705" s="3">
        <v>46170.869490740741</v>
      </c>
      <c r="E705" s="3">
        <v>46170.908379629633</v>
      </c>
      <c r="F705" s="9">
        <f>IF($K705="cancelled"," ",(quick_commerce_orders[[#This Row],[delivery_time]]-quick_commerce_orders[[#This Row],[order_time]])*1440)</f>
        <v>56.000000004423782</v>
      </c>
      <c r="G705" s="2">
        <v>405.13</v>
      </c>
      <c r="H705" s="2" t="str">
        <f>IF(quick_commerce_orders[[#This Row],[order_value]]&lt;500,"Low",IF(quick_commerce_orders[[#This Row],[order_value]]&gt;1500,"High","Moderate"))</f>
        <v>Low</v>
      </c>
      <c r="I7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05" s="2" t="s">
        <v>28</v>
      </c>
      <c r="K705" s="2" t="s">
        <v>12</v>
      </c>
    </row>
    <row r="706" spans="1:11" x14ac:dyDescent="0.2">
      <c r="A706" s="2" t="s">
        <v>1426</v>
      </c>
      <c r="B706" s="2" t="s">
        <v>1427</v>
      </c>
      <c r="C706" s="2" t="s">
        <v>31</v>
      </c>
      <c r="D706" s="3">
        <v>46152.02065972222</v>
      </c>
      <c r="E706" s="3">
        <v>46152.02621527778</v>
      </c>
      <c r="F706" s="9">
        <f>IF($K706="cancelled"," ",(quick_commerce_orders[[#This Row],[delivery_time]]-quick_commerce_orders[[#This Row],[order_time]])*1440)</f>
        <v>8.0000000051222742</v>
      </c>
      <c r="G706" s="2">
        <v>805.04</v>
      </c>
      <c r="H706" s="2" t="str">
        <f>IF(quick_commerce_orders[[#This Row],[order_value]]&lt;500,"Low",IF(quick_commerce_orders[[#This Row],[order_value]]&gt;1500,"High","Moderate"))</f>
        <v>Moderate</v>
      </c>
      <c r="I7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06" s="2" t="s">
        <v>39</v>
      </c>
      <c r="K706" s="2" t="s">
        <v>16</v>
      </c>
    </row>
    <row r="707" spans="1:11" x14ac:dyDescent="0.2">
      <c r="A707" s="2" t="s">
        <v>1428</v>
      </c>
      <c r="B707" s="2" t="s">
        <v>1429</v>
      </c>
      <c r="C707" s="2" t="s">
        <v>19</v>
      </c>
      <c r="D707" s="3">
        <v>46164.045185185183</v>
      </c>
      <c r="E707" s="3">
        <v>46164.052129629628</v>
      </c>
      <c r="F707" s="9">
        <f>IF($K707="cancelled"," ",(quick_commerce_orders[[#This Row],[delivery_time]]-quick_commerce_orders[[#This Row],[order_time]])*1440)</f>
        <v>10.000000001164153</v>
      </c>
      <c r="G707" s="2">
        <v>985.13</v>
      </c>
      <c r="H707" s="2" t="str">
        <f>IF(quick_commerce_orders[[#This Row],[order_value]]&lt;500,"Low",IF(quick_commerce_orders[[#This Row],[order_value]]&gt;1500,"High","Moderate"))</f>
        <v>Moderate</v>
      </c>
      <c r="I7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07" s="2" t="s">
        <v>15</v>
      </c>
      <c r="K707" s="2" t="s">
        <v>16</v>
      </c>
    </row>
    <row r="708" spans="1:11" x14ac:dyDescent="0.2">
      <c r="A708" s="2" t="s">
        <v>1430</v>
      </c>
      <c r="B708" s="2" t="s">
        <v>1431</v>
      </c>
      <c r="C708" s="2" t="s">
        <v>31</v>
      </c>
      <c r="D708" s="3">
        <v>46146.24324074074</v>
      </c>
      <c r="E708" s="3">
        <v>46146.250879629632</v>
      </c>
      <c r="F708" s="9">
        <f>IF($K708="cancelled"," ",(quick_commerce_orders[[#This Row],[delivery_time]]-quick_commerce_orders[[#This Row],[order_time]])*1440)</f>
        <v>11.000000004423782</v>
      </c>
      <c r="G708" s="2">
        <v>1416.32</v>
      </c>
      <c r="H708" s="2" t="str">
        <f>IF(quick_commerce_orders[[#This Row],[order_value]]&lt;500,"Low",IF(quick_commerce_orders[[#This Row],[order_value]]&gt;1500,"High","Moderate"))</f>
        <v>Moderate</v>
      </c>
      <c r="I7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08" s="2" t="s">
        <v>28</v>
      </c>
      <c r="K708" s="2" t="s">
        <v>16</v>
      </c>
    </row>
    <row r="709" spans="1:11" x14ac:dyDescent="0.2">
      <c r="A709" s="2" t="s">
        <v>1432</v>
      </c>
      <c r="B709" s="2" t="s">
        <v>1433</v>
      </c>
      <c r="C709" s="2" t="s">
        <v>75</v>
      </c>
      <c r="D709" s="3">
        <v>46147.786273148151</v>
      </c>
      <c r="E709" s="3">
        <v>46147.792523148149</v>
      </c>
      <c r="F709" s="9">
        <f>IF($K709="cancelled"," ",(quick_commerce_orders[[#This Row],[delivery_time]]-quick_commerce_orders[[#This Row],[order_time]])*1440)</f>
        <v>8.9999999979045242</v>
      </c>
      <c r="G709" s="2">
        <v>226.51</v>
      </c>
      <c r="H709" s="2" t="str">
        <f>IF(quick_commerce_orders[[#This Row],[order_value]]&lt;500,"Low",IF(quick_commerce_orders[[#This Row],[order_value]]&gt;1500,"High","Moderate"))</f>
        <v>Low</v>
      </c>
      <c r="I7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09" s="2" t="s">
        <v>15</v>
      </c>
      <c r="K709" s="2" t="s">
        <v>16</v>
      </c>
    </row>
    <row r="710" spans="1:11" x14ac:dyDescent="0.2">
      <c r="A710" s="2" t="s">
        <v>1434</v>
      </c>
      <c r="B710" s="2" t="s">
        <v>1435</v>
      </c>
      <c r="C710" s="2" t="s">
        <v>10</v>
      </c>
      <c r="D710" s="3">
        <v>46159.558657407404</v>
      </c>
      <c r="E710" s="3">
        <v>46159.568379629629</v>
      </c>
      <c r="F710" s="9">
        <f>IF($K710="cancelled"," ",(quick_commerce_orders[[#This Row],[delivery_time]]-quick_commerce_orders[[#This Row],[order_time]])*1440)</f>
        <v>14.00000000372529</v>
      </c>
      <c r="G710" s="2">
        <v>1787.05</v>
      </c>
      <c r="H710" s="2" t="str">
        <f>IF(quick_commerce_orders[[#This Row],[order_value]]&lt;500,"Low",IF(quick_commerce_orders[[#This Row],[order_value]]&gt;1500,"High","Moderate"))</f>
        <v>High</v>
      </c>
      <c r="I7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0" s="2" t="s">
        <v>80</v>
      </c>
      <c r="K710" s="2" t="s">
        <v>16</v>
      </c>
    </row>
    <row r="711" spans="1:11" x14ac:dyDescent="0.2">
      <c r="A711" s="2" t="s">
        <v>1436</v>
      </c>
      <c r="B711" s="2" t="s">
        <v>1437</v>
      </c>
      <c r="C711" s="2" t="s">
        <v>53</v>
      </c>
      <c r="D711" s="3">
        <v>46168.555567129632</v>
      </c>
      <c r="E711" s="3">
        <v>46168.585428240738</v>
      </c>
      <c r="F711" s="9">
        <f>IF($K711="cancelled"," ",(quick_commerce_orders[[#This Row],[delivery_time]]-quick_commerce_orders[[#This Row],[order_time]])*1440)</f>
        <v>42.999999993480742</v>
      </c>
      <c r="G711" s="2">
        <v>2068.81</v>
      </c>
      <c r="H711" s="2" t="str">
        <f>IF(quick_commerce_orders[[#This Row],[order_value]]&lt;500,"Low",IF(quick_commerce_orders[[#This Row],[order_value]]&gt;1500,"High","Moderate"))</f>
        <v>High</v>
      </c>
      <c r="I7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1" s="2" t="s">
        <v>80</v>
      </c>
      <c r="K711" s="2" t="s">
        <v>12</v>
      </c>
    </row>
    <row r="712" spans="1:11" x14ac:dyDescent="0.2">
      <c r="A712" s="2" t="s">
        <v>1438</v>
      </c>
      <c r="B712" s="2" t="s">
        <v>1439</v>
      </c>
      <c r="C712" s="2" t="s">
        <v>27</v>
      </c>
      <c r="D712" s="3">
        <v>46167.880254629628</v>
      </c>
      <c r="E712" s="3"/>
      <c r="F712" s="9" t="str">
        <f>IF($K712="cancelled"," ",(quick_commerce_orders[[#This Row],[delivery_time]]-quick_commerce_orders[[#This Row],[order_time]])*1440)</f>
        <v xml:space="preserve"> </v>
      </c>
      <c r="G712" s="2">
        <v>961.19</v>
      </c>
      <c r="H712" s="2" t="str">
        <f>IF(quick_commerce_orders[[#This Row],[order_value]]&lt;500,"Low",IF(quick_commerce_orders[[#This Row],[order_value]]&gt;1500,"High","Moderate"))</f>
        <v>Moderate</v>
      </c>
      <c r="I7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2" s="2" t="s">
        <v>11</v>
      </c>
      <c r="K712" s="2" t="s">
        <v>58</v>
      </c>
    </row>
    <row r="713" spans="1:11" x14ac:dyDescent="0.2">
      <c r="A713" s="2" t="s">
        <v>1440</v>
      </c>
      <c r="B713" s="2" t="s">
        <v>1441</v>
      </c>
      <c r="C713" s="2" t="s">
        <v>42</v>
      </c>
      <c r="D713" s="3">
        <v>46143.865729166668</v>
      </c>
      <c r="E713" s="3">
        <v>46143.873368055552</v>
      </c>
      <c r="F713" s="9">
        <f>IF($K713="cancelled"," ",(quick_commerce_orders[[#This Row],[delivery_time]]-quick_commerce_orders[[#This Row],[order_time]])*1440)</f>
        <v>10.999999993946403</v>
      </c>
      <c r="G713" s="2">
        <v>2165.9899999999998</v>
      </c>
      <c r="H713" s="2" t="str">
        <f>IF(quick_commerce_orders[[#This Row],[order_value]]&lt;500,"Low",IF(quick_commerce_orders[[#This Row],[order_value]]&gt;1500,"High","Moderate"))</f>
        <v>High</v>
      </c>
      <c r="I7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3" s="2" t="s">
        <v>80</v>
      </c>
      <c r="K713" s="2" t="s">
        <v>16</v>
      </c>
    </row>
    <row r="714" spans="1:11" x14ac:dyDescent="0.2">
      <c r="A714" s="2" t="s">
        <v>1442</v>
      </c>
      <c r="B714" s="2" t="s">
        <v>1443</v>
      </c>
      <c r="C714" s="2" t="s">
        <v>34</v>
      </c>
      <c r="D714" s="3">
        <v>46147.984050925923</v>
      </c>
      <c r="E714" s="3">
        <v>46147.991689814815</v>
      </c>
      <c r="F714" s="9">
        <f>IF($K714="cancelled"," ",(quick_commerce_orders[[#This Row],[delivery_time]]-quick_commerce_orders[[#This Row],[order_time]])*1440)</f>
        <v>11.000000004423782</v>
      </c>
      <c r="G714" s="2">
        <v>2176.63</v>
      </c>
      <c r="H714" s="2" t="str">
        <f>IF(quick_commerce_orders[[#This Row],[order_value]]&lt;500,"Low",IF(quick_commerce_orders[[#This Row],[order_value]]&gt;1500,"High","Moderate"))</f>
        <v>High</v>
      </c>
      <c r="I7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4" s="2" t="s">
        <v>80</v>
      </c>
      <c r="K714" s="2" t="s">
        <v>16</v>
      </c>
    </row>
    <row r="715" spans="1:11" x14ac:dyDescent="0.2">
      <c r="A715" s="2" t="s">
        <v>1444</v>
      </c>
      <c r="B715" s="2" t="s">
        <v>1445</v>
      </c>
      <c r="C715" s="2" t="s">
        <v>19</v>
      </c>
      <c r="D715" s="3">
        <v>46147.499675925923</v>
      </c>
      <c r="E715" s="3"/>
      <c r="F715" s="9" t="str">
        <f>IF($K715="cancelled"," ",(quick_commerce_orders[[#This Row],[delivery_time]]-quick_commerce_orders[[#This Row],[order_time]])*1440)</f>
        <v xml:space="preserve"> </v>
      </c>
      <c r="G715" s="2">
        <v>663.58</v>
      </c>
      <c r="H715" s="2" t="str">
        <f>IF(quick_commerce_orders[[#This Row],[order_value]]&lt;500,"Low",IF(quick_commerce_orders[[#This Row],[order_value]]&gt;1500,"High","Moderate"))</f>
        <v>Moderate</v>
      </c>
      <c r="I7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5" s="2" t="s">
        <v>11</v>
      </c>
      <c r="K715" s="2" t="s">
        <v>58</v>
      </c>
    </row>
    <row r="716" spans="1:11" x14ac:dyDescent="0.2">
      <c r="A716" s="2" t="s">
        <v>1446</v>
      </c>
      <c r="B716" s="2" t="s">
        <v>1447</v>
      </c>
      <c r="C716" s="2" t="s">
        <v>53</v>
      </c>
      <c r="D716" s="3">
        <v>46149.410219907404</v>
      </c>
      <c r="E716" s="3">
        <v>46149.418553240743</v>
      </c>
      <c r="F716" s="9">
        <f>IF($K716="cancelled"," ",(quick_commerce_orders[[#This Row],[delivery_time]]-quick_commerce_orders[[#This Row],[order_time]])*1440)</f>
        <v>12.000000007683411</v>
      </c>
      <c r="G716" s="2">
        <v>1784.33</v>
      </c>
      <c r="H716" s="2" t="str">
        <f>IF(quick_commerce_orders[[#This Row],[order_value]]&lt;500,"Low",IF(quick_commerce_orders[[#This Row],[order_value]]&gt;1500,"High","Moderate"))</f>
        <v>High</v>
      </c>
      <c r="I7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16" s="2" t="s">
        <v>11</v>
      </c>
      <c r="K716" s="2" t="s">
        <v>16</v>
      </c>
    </row>
    <row r="717" spans="1:11" x14ac:dyDescent="0.2">
      <c r="A717" s="2" t="s">
        <v>1448</v>
      </c>
      <c r="B717" s="2" t="s">
        <v>1449</v>
      </c>
      <c r="C717" s="2" t="s">
        <v>75</v>
      </c>
      <c r="D717" s="3">
        <v>46162.795347222222</v>
      </c>
      <c r="E717" s="3">
        <v>46162.807847222219</v>
      </c>
      <c r="F717" s="9">
        <f>IF($K717="cancelled"," ",(quick_commerce_orders[[#This Row],[delivery_time]]-quick_commerce_orders[[#This Row],[order_time]])*1440)</f>
        <v>17.999999995809048</v>
      </c>
      <c r="G717" s="2">
        <v>1045.24</v>
      </c>
      <c r="H717" s="2" t="str">
        <f>IF(quick_commerce_orders[[#This Row],[order_value]]&lt;500,"Low",IF(quick_commerce_orders[[#This Row],[order_value]]&gt;1500,"High","Moderate"))</f>
        <v>Moderate</v>
      </c>
      <c r="I7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7" s="2" t="s">
        <v>11</v>
      </c>
      <c r="K717" s="2" t="s">
        <v>16</v>
      </c>
    </row>
    <row r="718" spans="1:11" x14ac:dyDescent="0.2">
      <c r="A718" s="2" t="s">
        <v>1450</v>
      </c>
      <c r="B718" s="2" t="s">
        <v>1451</v>
      </c>
      <c r="C718" s="2" t="s">
        <v>75</v>
      </c>
      <c r="D718" s="3">
        <v>46171.517962962964</v>
      </c>
      <c r="E718" s="3">
        <v>46171.529074074075</v>
      </c>
      <c r="F718" s="9">
        <f>IF($K718="cancelled"," ",(quick_commerce_orders[[#This Row],[delivery_time]]-quick_commerce_orders[[#This Row],[order_time]])*1440)</f>
        <v>15.999999999767169</v>
      </c>
      <c r="G718" s="2">
        <v>862.51</v>
      </c>
      <c r="H718" s="2" t="str">
        <f>IF(quick_commerce_orders[[#This Row],[order_value]]&lt;500,"Low",IF(quick_commerce_orders[[#This Row],[order_value]]&gt;1500,"High","Moderate"))</f>
        <v>Moderate</v>
      </c>
      <c r="I7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8" s="2" t="s">
        <v>80</v>
      </c>
      <c r="K718" s="2" t="s">
        <v>16</v>
      </c>
    </row>
    <row r="719" spans="1:11" x14ac:dyDescent="0.2">
      <c r="A719" s="2" t="s">
        <v>1452</v>
      </c>
      <c r="B719" s="2" t="s">
        <v>1453</v>
      </c>
      <c r="C719" s="2" t="s">
        <v>34</v>
      </c>
      <c r="D719" s="3">
        <v>46144.632337962961</v>
      </c>
      <c r="E719" s="3">
        <v>46144.63858796296</v>
      </c>
      <c r="F719" s="9">
        <f>IF($K719="cancelled"," ",(quick_commerce_orders[[#This Row],[delivery_time]]-quick_commerce_orders[[#This Row],[order_time]])*1440)</f>
        <v>8.9999999979045242</v>
      </c>
      <c r="G719" s="2">
        <v>1017.7</v>
      </c>
      <c r="H719" s="2" t="str">
        <f>IF(quick_commerce_orders[[#This Row],[order_value]]&lt;500,"Low",IF(quick_commerce_orders[[#This Row],[order_value]]&gt;1500,"High","Moderate"))</f>
        <v>Moderate</v>
      </c>
      <c r="I7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19" s="2" t="s">
        <v>39</v>
      </c>
      <c r="K719" s="2" t="s">
        <v>16</v>
      </c>
    </row>
    <row r="720" spans="1:11" x14ac:dyDescent="0.2">
      <c r="A720" s="2" t="s">
        <v>1454</v>
      </c>
      <c r="B720" s="2" t="s">
        <v>1455</v>
      </c>
      <c r="C720" s="2" t="s">
        <v>10</v>
      </c>
      <c r="D720" s="3">
        <v>46157.199594907404</v>
      </c>
      <c r="E720" s="3">
        <v>46157.210011574076</v>
      </c>
      <c r="F720" s="9">
        <f>IF($K720="cancelled"," ",(quick_commerce_orders[[#This Row],[delivery_time]]-quick_commerce_orders[[#This Row],[order_time]])*1440)</f>
        <v>15.000000006984919</v>
      </c>
      <c r="G720" s="2">
        <v>1014.76</v>
      </c>
      <c r="H720" s="2" t="str">
        <f>IF(quick_commerce_orders[[#This Row],[order_value]]&lt;500,"Low",IF(quick_commerce_orders[[#This Row],[order_value]]&gt;1500,"High","Moderate"))</f>
        <v>Moderate</v>
      </c>
      <c r="I7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20" s="2" t="s">
        <v>15</v>
      </c>
      <c r="K720" s="2" t="s">
        <v>16</v>
      </c>
    </row>
    <row r="721" spans="1:11" x14ac:dyDescent="0.2">
      <c r="A721" s="2" t="s">
        <v>1456</v>
      </c>
      <c r="B721" s="2" t="s">
        <v>1457</v>
      </c>
      <c r="C721" s="2" t="s">
        <v>75</v>
      </c>
      <c r="D721" s="3">
        <v>46161.839803240742</v>
      </c>
      <c r="E721" s="3">
        <v>46161.859247685185</v>
      </c>
      <c r="F721" s="9">
        <f>IF($K721="cancelled"," ",(quick_commerce_orders[[#This Row],[delivery_time]]-quick_commerce_orders[[#This Row],[order_time]])*1440)</f>
        <v>27.999999996973202</v>
      </c>
      <c r="G721" s="2">
        <v>1407.29</v>
      </c>
      <c r="H721" s="2" t="str">
        <f>IF(quick_commerce_orders[[#This Row],[order_value]]&lt;500,"Low",IF(quick_commerce_orders[[#This Row],[order_value]]&gt;1500,"High","Moderate"))</f>
        <v>Moderate</v>
      </c>
      <c r="I7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21" s="2" t="s">
        <v>15</v>
      </c>
      <c r="K721" s="2" t="s">
        <v>12</v>
      </c>
    </row>
    <row r="722" spans="1:11" x14ac:dyDescent="0.2">
      <c r="A722" s="2" t="s">
        <v>1458</v>
      </c>
      <c r="B722" s="2" t="s">
        <v>1459</v>
      </c>
      <c r="C722" s="2" t="s">
        <v>34</v>
      </c>
      <c r="D722" s="3">
        <v>46166.024942129632</v>
      </c>
      <c r="E722" s="3">
        <v>46166.03396990741</v>
      </c>
      <c r="F722" s="9">
        <f>IF($K722="cancelled"," ",(quick_commerce_orders[[#This Row],[delivery_time]]-quick_commerce_orders[[#This Row],[order_time]])*1440)</f>
        <v>13.000000000465661</v>
      </c>
      <c r="G722" s="2">
        <v>1688.97</v>
      </c>
      <c r="H722" s="2" t="str">
        <f>IF(quick_commerce_orders[[#This Row],[order_value]]&lt;500,"Low",IF(quick_commerce_orders[[#This Row],[order_value]]&gt;1500,"High","Moderate"))</f>
        <v>High</v>
      </c>
      <c r="I7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22" s="2" t="s">
        <v>80</v>
      </c>
      <c r="K722" s="2" t="s">
        <v>16</v>
      </c>
    </row>
    <row r="723" spans="1:11" x14ac:dyDescent="0.2">
      <c r="A723" s="2" t="s">
        <v>1460</v>
      </c>
      <c r="B723" s="2" t="s">
        <v>1461</v>
      </c>
      <c r="C723" s="2" t="s">
        <v>10</v>
      </c>
      <c r="D723" s="3">
        <v>46152.126388888886</v>
      </c>
      <c r="E723" s="3">
        <v>46152.137499999997</v>
      </c>
      <c r="F723" s="9">
        <f>IF($K723="cancelled"," ",(quick_commerce_orders[[#This Row],[delivery_time]]-quick_commerce_orders[[#This Row],[order_time]])*1440)</f>
        <v>15.999999999767169</v>
      </c>
      <c r="G723" s="2">
        <v>1238.69</v>
      </c>
      <c r="H723" s="2" t="str">
        <f>IF(quick_commerce_orders[[#This Row],[order_value]]&lt;500,"Low",IF(quick_commerce_orders[[#This Row],[order_value]]&gt;1500,"High","Moderate"))</f>
        <v>Moderate</v>
      </c>
      <c r="I7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23" s="2" t="s">
        <v>28</v>
      </c>
      <c r="K723" s="2" t="s">
        <v>16</v>
      </c>
    </row>
    <row r="724" spans="1:11" x14ac:dyDescent="0.2">
      <c r="A724" s="2" t="s">
        <v>1462</v>
      </c>
      <c r="B724" s="2" t="s">
        <v>1463</v>
      </c>
      <c r="C724" s="2" t="s">
        <v>53</v>
      </c>
      <c r="D724" s="3">
        <v>46168.73269675926</v>
      </c>
      <c r="E724" s="3">
        <v>46168.738252314812</v>
      </c>
      <c r="F724" s="9">
        <f>IF($K724="cancelled"," ",(quick_commerce_orders[[#This Row],[delivery_time]]-quick_commerce_orders[[#This Row],[order_time]])*1440)</f>
        <v>7.9999999946448952</v>
      </c>
      <c r="G724" s="2">
        <v>550.74</v>
      </c>
      <c r="H724" s="2" t="str">
        <f>IF(quick_commerce_orders[[#This Row],[order_value]]&lt;500,"Low",IF(quick_commerce_orders[[#This Row],[order_value]]&gt;1500,"High","Moderate"))</f>
        <v>Moderate</v>
      </c>
      <c r="I7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24" s="2" t="s">
        <v>39</v>
      </c>
      <c r="K724" s="2" t="s">
        <v>16</v>
      </c>
    </row>
    <row r="725" spans="1:11" x14ac:dyDescent="0.2">
      <c r="A725" s="2" t="s">
        <v>1464</v>
      </c>
      <c r="B725" s="2" t="s">
        <v>1465</v>
      </c>
      <c r="C725" s="2" t="s">
        <v>42</v>
      </c>
      <c r="D725" s="3">
        <v>46162.283182870371</v>
      </c>
      <c r="E725" s="3">
        <v>46162.290127314816</v>
      </c>
      <c r="F725" s="9">
        <f>IF($K725="cancelled"," ",(quick_commerce_orders[[#This Row],[delivery_time]]-quick_commerce_orders[[#This Row],[order_time]])*1440)</f>
        <v>10.000000001164153</v>
      </c>
      <c r="G725" s="2">
        <v>1022.03</v>
      </c>
      <c r="H725" s="2" t="str">
        <f>IF(quick_commerce_orders[[#This Row],[order_value]]&lt;500,"Low",IF(quick_commerce_orders[[#This Row],[order_value]]&gt;1500,"High","Moderate"))</f>
        <v>Moderate</v>
      </c>
      <c r="I7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25" s="2" t="s">
        <v>28</v>
      </c>
      <c r="K725" s="2" t="s">
        <v>16</v>
      </c>
    </row>
    <row r="726" spans="1:11" x14ac:dyDescent="0.2">
      <c r="A726" s="2" t="s">
        <v>1466</v>
      </c>
      <c r="B726" s="2" t="s">
        <v>1467</v>
      </c>
      <c r="C726" s="2" t="s">
        <v>53</v>
      </c>
      <c r="D726" s="3">
        <v>46165.26871527778</v>
      </c>
      <c r="E726" s="3">
        <v>46165.277743055558</v>
      </c>
      <c r="F726" s="9">
        <f>IF($K726="cancelled"," ",(quick_commerce_orders[[#This Row],[delivery_time]]-quick_commerce_orders[[#This Row],[order_time]])*1440)</f>
        <v>13.000000000465661</v>
      </c>
      <c r="G726" s="2">
        <v>2317.7600000000002</v>
      </c>
      <c r="H726" s="2" t="str">
        <f>IF(quick_commerce_orders[[#This Row],[order_value]]&lt;500,"Low",IF(quick_commerce_orders[[#This Row],[order_value]]&gt;1500,"High","Moderate"))</f>
        <v>High</v>
      </c>
      <c r="I7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26" s="2" t="s">
        <v>15</v>
      </c>
      <c r="K726" s="2" t="s">
        <v>16</v>
      </c>
    </row>
    <row r="727" spans="1:11" x14ac:dyDescent="0.2">
      <c r="A727" s="2" t="s">
        <v>1468</v>
      </c>
      <c r="B727" s="2" t="s">
        <v>1469</v>
      </c>
      <c r="C727" s="2" t="s">
        <v>34</v>
      </c>
      <c r="D727" s="3">
        <v>46152.216134259259</v>
      </c>
      <c r="E727" s="3">
        <v>46152.225856481484</v>
      </c>
      <c r="F727" s="9">
        <f>IF($K727="cancelled"," ",(quick_commerce_orders[[#This Row],[delivery_time]]-quick_commerce_orders[[#This Row],[order_time]])*1440)</f>
        <v>14.00000000372529</v>
      </c>
      <c r="G727" s="2">
        <v>2114.91</v>
      </c>
      <c r="H727" s="2" t="str">
        <f>IF(quick_commerce_orders[[#This Row],[order_value]]&lt;500,"Low",IF(quick_commerce_orders[[#This Row],[order_value]]&gt;1500,"High","Moderate"))</f>
        <v>High</v>
      </c>
      <c r="I7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27" s="2" t="s">
        <v>80</v>
      </c>
      <c r="K727" s="2" t="s">
        <v>16</v>
      </c>
    </row>
    <row r="728" spans="1:11" x14ac:dyDescent="0.2">
      <c r="A728" s="2" t="s">
        <v>1470</v>
      </c>
      <c r="B728" s="2" t="s">
        <v>1471</v>
      </c>
      <c r="C728" s="2" t="s">
        <v>42</v>
      </c>
      <c r="D728" s="3">
        <v>46159.254988425928</v>
      </c>
      <c r="E728" s="3">
        <v>46159.264710648145</v>
      </c>
      <c r="F728" s="9">
        <f>IF($K728="cancelled"," ",(quick_commerce_orders[[#This Row],[delivery_time]]-quick_commerce_orders[[#This Row],[order_time]])*1440)</f>
        <v>13.999999993247911</v>
      </c>
      <c r="G728" s="2">
        <v>469.24</v>
      </c>
      <c r="H728" s="2" t="str">
        <f>IF(quick_commerce_orders[[#This Row],[order_value]]&lt;500,"Low",IF(quick_commerce_orders[[#This Row],[order_value]]&gt;1500,"High","Moderate"))</f>
        <v>Low</v>
      </c>
      <c r="I7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28" s="2" t="s">
        <v>80</v>
      </c>
      <c r="K728" s="2" t="s">
        <v>16</v>
      </c>
    </row>
    <row r="729" spans="1:11" x14ac:dyDescent="0.2">
      <c r="A729" s="2" t="s">
        <v>1472</v>
      </c>
      <c r="B729" s="2" t="s">
        <v>1473</v>
      </c>
      <c r="C729" s="2" t="s">
        <v>34</v>
      </c>
      <c r="D729" s="3">
        <v>46146.728946759256</v>
      </c>
      <c r="E729" s="3">
        <v>46146.735891203702</v>
      </c>
      <c r="F729" s="9">
        <f>IF($K729="cancelled"," ",(quick_commerce_orders[[#This Row],[delivery_time]]-quick_commerce_orders[[#This Row],[order_time]])*1440)</f>
        <v>10.000000001164153</v>
      </c>
      <c r="G729" s="2">
        <v>2492.89</v>
      </c>
      <c r="H729" s="2" t="str">
        <f>IF(quick_commerce_orders[[#This Row],[order_value]]&lt;500,"Low",IF(quick_commerce_orders[[#This Row],[order_value]]&gt;1500,"High","Moderate"))</f>
        <v>High</v>
      </c>
      <c r="I7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29" s="2" t="s">
        <v>20</v>
      </c>
      <c r="K729" s="2" t="s">
        <v>16</v>
      </c>
    </row>
    <row r="730" spans="1:11" x14ac:dyDescent="0.2">
      <c r="A730" s="2" t="s">
        <v>1474</v>
      </c>
      <c r="B730" s="2" t="s">
        <v>1475</v>
      </c>
      <c r="C730" s="2" t="s">
        <v>53</v>
      </c>
      <c r="D730" s="3">
        <v>46147.40421296296</v>
      </c>
      <c r="E730" s="3">
        <v>46147.410462962966</v>
      </c>
      <c r="F730" s="9">
        <f>IF($K730="cancelled"," ",(quick_commerce_orders[[#This Row],[delivery_time]]-quick_commerce_orders[[#This Row],[order_time]])*1440)</f>
        <v>9.0000000083819032</v>
      </c>
      <c r="G730" s="2">
        <v>1707.16</v>
      </c>
      <c r="H730" s="2" t="str">
        <f>IF(quick_commerce_orders[[#This Row],[order_value]]&lt;500,"Low",IF(quick_commerce_orders[[#This Row],[order_value]]&gt;1500,"High","Moderate"))</f>
        <v>High</v>
      </c>
      <c r="I7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30" s="2" t="s">
        <v>20</v>
      </c>
      <c r="K730" s="2" t="s">
        <v>16</v>
      </c>
    </row>
    <row r="731" spans="1:11" x14ac:dyDescent="0.2">
      <c r="A731" s="2" t="s">
        <v>1476</v>
      </c>
      <c r="B731" s="2" t="s">
        <v>1477</v>
      </c>
      <c r="C731" s="2" t="s">
        <v>31</v>
      </c>
      <c r="D731" s="3">
        <v>46159.13386574074</v>
      </c>
      <c r="E731" s="3">
        <v>46159.140810185185</v>
      </c>
      <c r="F731" s="9">
        <f>IF($K731="cancelled"," ",(quick_commerce_orders[[#This Row],[delivery_time]]-quick_commerce_orders[[#This Row],[order_time]])*1440)</f>
        <v>10.000000001164153</v>
      </c>
      <c r="G731" s="2">
        <v>421.27</v>
      </c>
      <c r="H731" s="2" t="str">
        <f>IF(quick_commerce_orders[[#This Row],[order_value]]&lt;500,"Low",IF(quick_commerce_orders[[#This Row],[order_value]]&gt;1500,"High","Moderate"))</f>
        <v>Low</v>
      </c>
      <c r="I7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31" s="2" t="s">
        <v>80</v>
      </c>
      <c r="K731" s="2" t="s">
        <v>16</v>
      </c>
    </row>
    <row r="732" spans="1:11" x14ac:dyDescent="0.2">
      <c r="A732" s="2" t="s">
        <v>1478</v>
      </c>
      <c r="B732" s="2" t="s">
        <v>1479</v>
      </c>
      <c r="C732" s="2" t="s">
        <v>31</v>
      </c>
      <c r="D732" s="3">
        <v>46174.432037037041</v>
      </c>
      <c r="E732" s="3">
        <v>46174.443148148152</v>
      </c>
      <c r="F732" s="9">
        <f>IF($K732="cancelled"," ",(quick_commerce_orders[[#This Row],[delivery_time]]-quick_commerce_orders[[#This Row],[order_time]])*1440)</f>
        <v>15.999999999767169</v>
      </c>
      <c r="G732" s="2">
        <v>271.19</v>
      </c>
      <c r="H732" s="2" t="str">
        <f>IF(quick_commerce_orders[[#This Row],[order_value]]&lt;500,"Low",IF(quick_commerce_orders[[#This Row],[order_value]]&gt;1500,"High","Moderate"))</f>
        <v>Low</v>
      </c>
      <c r="I7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32" s="2" t="s">
        <v>28</v>
      </c>
      <c r="K732" s="2" t="s">
        <v>16</v>
      </c>
    </row>
    <row r="733" spans="1:11" x14ac:dyDescent="0.2">
      <c r="A733" s="2" t="s">
        <v>1480</v>
      </c>
      <c r="B733" s="2" t="s">
        <v>1481</v>
      </c>
      <c r="C733" s="2" t="s">
        <v>53</v>
      </c>
      <c r="D733" s="3">
        <v>46158.13795138889</v>
      </c>
      <c r="E733" s="3">
        <v>46158.173368055555</v>
      </c>
      <c r="F733" s="9">
        <f>IF($K733="cancelled"," ",(quick_commerce_orders[[#This Row],[delivery_time]]-quick_commerce_orders[[#This Row],[order_time]])*1440)</f>
        <v>50.999999998603016</v>
      </c>
      <c r="G733" s="2">
        <v>136.69999999999999</v>
      </c>
      <c r="H733" s="2" t="str">
        <f>IF(quick_commerce_orders[[#This Row],[order_value]]&lt;500,"Low",IF(quick_commerce_orders[[#This Row],[order_value]]&gt;1500,"High","Moderate"))</f>
        <v>Low</v>
      </c>
      <c r="I7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33" s="2" t="s">
        <v>39</v>
      </c>
      <c r="K733" s="2" t="s">
        <v>12</v>
      </c>
    </row>
    <row r="734" spans="1:11" x14ac:dyDescent="0.2">
      <c r="A734" s="2" t="s">
        <v>1482</v>
      </c>
      <c r="B734" s="2" t="s">
        <v>1483</v>
      </c>
      <c r="C734" s="2" t="s">
        <v>75</v>
      </c>
      <c r="D734" s="3">
        <v>46147.264247685183</v>
      </c>
      <c r="E734" s="3">
        <v>46147.274664351855</v>
      </c>
      <c r="F734" s="9">
        <f>IF($K734="cancelled"," ",(quick_commerce_orders[[#This Row],[delivery_time]]-quick_commerce_orders[[#This Row],[order_time]])*1440)</f>
        <v>15.000000006984919</v>
      </c>
      <c r="G734" s="2">
        <v>1830.21</v>
      </c>
      <c r="H734" s="2" t="str">
        <f>IF(quick_commerce_orders[[#This Row],[order_value]]&lt;500,"Low",IF(quick_commerce_orders[[#This Row],[order_value]]&gt;1500,"High","Moderate"))</f>
        <v>High</v>
      </c>
      <c r="I7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34" s="2" t="s">
        <v>28</v>
      </c>
      <c r="K734" s="2" t="s">
        <v>16</v>
      </c>
    </row>
    <row r="735" spans="1:11" x14ac:dyDescent="0.2">
      <c r="A735" s="2" t="s">
        <v>1484</v>
      </c>
      <c r="B735" s="2" t="s">
        <v>1485</v>
      </c>
      <c r="C735" s="2" t="s">
        <v>75</v>
      </c>
      <c r="D735" s="3">
        <v>46171.444236111114</v>
      </c>
      <c r="E735" s="3">
        <v>46171.457430555558</v>
      </c>
      <c r="F735" s="9">
        <f>IF($K735="cancelled"," ",(quick_commerce_orders[[#This Row],[delivery_time]]-quick_commerce_orders[[#This Row],[order_time]])*1440)</f>
        <v>18.999999999068677</v>
      </c>
      <c r="G735" s="2">
        <v>1267.08</v>
      </c>
      <c r="H735" s="2" t="str">
        <f>IF(quick_commerce_orders[[#This Row],[order_value]]&lt;500,"Low",IF(quick_commerce_orders[[#This Row],[order_value]]&gt;1500,"High","Moderate"))</f>
        <v>Moderate</v>
      </c>
      <c r="I7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35" s="2" t="s">
        <v>28</v>
      </c>
      <c r="K735" s="2" t="s">
        <v>16</v>
      </c>
    </row>
    <row r="736" spans="1:11" x14ac:dyDescent="0.2">
      <c r="A736" s="2" t="s">
        <v>1486</v>
      </c>
      <c r="B736" s="2" t="s">
        <v>1487</v>
      </c>
      <c r="C736" s="2" t="s">
        <v>42</v>
      </c>
      <c r="D736" s="3">
        <v>46162.942465277774</v>
      </c>
      <c r="E736" s="3">
        <v>46162.94871527778</v>
      </c>
      <c r="F736" s="9">
        <f>IF($K736="cancelled"," ",(quick_commerce_orders[[#This Row],[delivery_time]]-quick_commerce_orders[[#This Row],[order_time]])*1440)</f>
        <v>9.0000000083819032</v>
      </c>
      <c r="G736" s="2">
        <v>1147.1600000000001</v>
      </c>
      <c r="H736" s="2" t="str">
        <f>IF(quick_commerce_orders[[#This Row],[order_value]]&lt;500,"Low",IF(quick_commerce_orders[[#This Row],[order_value]]&gt;1500,"High","Moderate"))</f>
        <v>Moderate</v>
      </c>
      <c r="I7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36" s="2" t="s">
        <v>15</v>
      </c>
      <c r="K736" s="2" t="s">
        <v>16</v>
      </c>
    </row>
    <row r="737" spans="1:11" x14ac:dyDescent="0.2">
      <c r="A737" s="2" t="s">
        <v>1488</v>
      </c>
      <c r="B737" s="2" t="s">
        <v>1489</v>
      </c>
      <c r="C737" s="2" t="s">
        <v>42</v>
      </c>
      <c r="D737" s="3">
        <v>46166.435532407406</v>
      </c>
      <c r="E737" s="3"/>
      <c r="F737" s="9" t="str">
        <f>IF($K737="cancelled"," ",(quick_commerce_orders[[#This Row],[delivery_time]]-quick_commerce_orders[[#This Row],[order_time]])*1440)</f>
        <v xml:space="preserve"> </v>
      </c>
      <c r="G737" s="2">
        <v>2475.52</v>
      </c>
      <c r="H737" s="2" t="str">
        <f>IF(quick_commerce_orders[[#This Row],[order_value]]&lt;500,"Low",IF(quick_commerce_orders[[#This Row],[order_value]]&gt;1500,"High","Moderate"))</f>
        <v>High</v>
      </c>
      <c r="I7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37" s="2" t="s">
        <v>28</v>
      </c>
      <c r="K737" s="2" t="s">
        <v>58</v>
      </c>
    </row>
    <row r="738" spans="1:11" x14ac:dyDescent="0.2">
      <c r="A738" s="2" t="s">
        <v>1490</v>
      </c>
      <c r="B738" s="2" t="s">
        <v>1491</v>
      </c>
      <c r="C738" s="2" t="s">
        <v>31</v>
      </c>
      <c r="D738" s="3">
        <v>46143.427662037036</v>
      </c>
      <c r="E738" s="3">
        <v>46143.437384259261</v>
      </c>
      <c r="F738" s="9">
        <f>IF($K738="cancelled"," ",(quick_commerce_orders[[#This Row],[delivery_time]]-quick_commerce_orders[[#This Row],[order_time]])*1440)</f>
        <v>14.00000000372529</v>
      </c>
      <c r="G738" s="2">
        <v>302.19</v>
      </c>
      <c r="H738" s="2" t="str">
        <f>IF(quick_commerce_orders[[#This Row],[order_value]]&lt;500,"Low",IF(quick_commerce_orders[[#This Row],[order_value]]&gt;1500,"High","Moderate"))</f>
        <v>Low</v>
      </c>
      <c r="I7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38" s="2" t="s">
        <v>28</v>
      </c>
      <c r="K738" s="2" t="s">
        <v>16</v>
      </c>
    </row>
    <row r="739" spans="1:11" x14ac:dyDescent="0.2">
      <c r="A739" s="2" t="s">
        <v>1492</v>
      </c>
      <c r="B739" s="2" t="s">
        <v>1493</v>
      </c>
      <c r="C739" s="2" t="s">
        <v>10</v>
      </c>
      <c r="D739" s="3">
        <v>46157.949780092589</v>
      </c>
      <c r="E739" s="3">
        <v>46157.957418981481</v>
      </c>
      <c r="F739" s="9">
        <f>IF($K739="cancelled"," ",(quick_commerce_orders[[#This Row],[delivery_time]]-quick_commerce_orders[[#This Row],[order_time]])*1440)</f>
        <v>11.000000004423782</v>
      </c>
      <c r="G739" s="2">
        <v>1640.38</v>
      </c>
      <c r="H739" s="2" t="str">
        <f>IF(quick_commerce_orders[[#This Row],[order_value]]&lt;500,"Low",IF(quick_commerce_orders[[#This Row],[order_value]]&gt;1500,"High","Moderate"))</f>
        <v>High</v>
      </c>
      <c r="I7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39" s="2" t="s">
        <v>15</v>
      </c>
      <c r="K739" s="2" t="s">
        <v>16</v>
      </c>
    </row>
    <row r="740" spans="1:11" x14ac:dyDescent="0.2">
      <c r="A740" s="2" t="s">
        <v>1494</v>
      </c>
      <c r="B740" s="2" t="s">
        <v>1495</v>
      </c>
      <c r="C740" s="2" t="s">
        <v>53</v>
      </c>
      <c r="D740" s="3">
        <v>46170.370405092595</v>
      </c>
      <c r="E740" s="3">
        <v>46170.377349537041</v>
      </c>
      <c r="F740" s="9">
        <f>IF($K740="cancelled"," ",(quick_commerce_orders[[#This Row],[delivery_time]]-quick_commerce_orders[[#This Row],[order_time]])*1440)</f>
        <v>10.000000001164153</v>
      </c>
      <c r="G740" s="2">
        <v>1097.05</v>
      </c>
      <c r="H740" s="2" t="str">
        <f>IF(quick_commerce_orders[[#This Row],[order_value]]&lt;500,"Low",IF(quick_commerce_orders[[#This Row],[order_value]]&gt;1500,"High","Moderate"))</f>
        <v>Moderate</v>
      </c>
      <c r="I7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40" s="2" t="s">
        <v>15</v>
      </c>
      <c r="K740" s="2" t="s">
        <v>16</v>
      </c>
    </row>
    <row r="741" spans="1:11" x14ac:dyDescent="0.2">
      <c r="A741" s="2" t="s">
        <v>1496</v>
      </c>
      <c r="B741" s="2" t="s">
        <v>1497</v>
      </c>
      <c r="C741" s="2" t="s">
        <v>10</v>
      </c>
      <c r="D741" s="3">
        <v>46151.907187500001</v>
      </c>
      <c r="E741" s="3">
        <v>46151.914826388886</v>
      </c>
      <c r="F741" s="9">
        <f>IF($K741="cancelled"," ",(quick_commerce_orders[[#This Row],[delivery_time]]-quick_commerce_orders[[#This Row],[order_time]])*1440)</f>
        <v>10.999999993946403</v>
      </c>
      <c r="G741" s="2">
        <v>1193.47</v>
      </c>
      <c r="H741" s="2" t="str">
        <f>IF(quick_commerce_orders[[#This Row],[order_value]]&lt;500,"Low",IF(quick_commerce_orders[[#This Row],[order_value]]&gt;1500,"High","Moderate"))</f>
        <v>Moderate</v>
      </c>
      <c r="I7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1" s="2" t="s">
        <v>11</v>
      </c>
      <c r="K741" s="2" t="s">
        <v>16</v>
      </c>
    </row>
    <row r="742" spans="1:11" x14ac:dyDescent="0.2">
      <c r="A742" s="2" t="s">
        <v>1498</v>
      </c>
      <c r="B742" s="2" t="s">
        <v>1499</v>
      </c>
      <c r="C742" s="2" t="s">
        <v>42</v>
      </c>
      <c r="D742" s="3">
        <v>46173.603032407409</v>
      </c>
      <c r="E742" s="3">
        <v>46173.61136574074</v>
      </c>
      <c r="F742" s="9">
        <f>IF($K742="cancelled"," ",(quick_commerce_orders[[#This Row],[delivery_time]]-quick_commerce_orders[[#This Row],[order_time]])*1440)</f>
        <v>11.999999997206032</v>
      </c>
      <c r="G742" s="2">
        <v>1992.43</v>
      </c>
      <c r="H742" s="2" t="str">
        <f>IF(quick_commerce_orders[[#This Row],[order_value]]&lt;500,"Low",IF(quick_commerce_orders[[#This Row],[order_value]]&gt;1500,"High","Moderate"))</f>
        <v>High</v>
      </c>
      <c r="I7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2" s="2" t="s">
        <v>15</v>
      </c>
      <c r="K742" s="2" t="s">
        <v>16</v>
      </c>
    </row>
    <row r="743" spans="1:11" x14ac:dyDescent="0.2">
      <c r="A743" s="2" t="s">
        <v>1500</v>
      </c>
      <c r="B743" s="2" t="s">
        <v>1501</v>
      </c>
      <c r="C743" s="2" t="s">
        <v>10</v>
      </c>
      <c r="D743" s="3">
        <v>46162.649375000001</v>
      </c>
      <c r="E743" s="3">
        <v>46162.659097222226</v>
      </c>
      <c r="F743" s="9">
        <f>IF($K743="cancelled"," ",(quick_commerce_orders[[#This Row],[delivery_time]]-quick_commerce_orders[[#This Row],[order_time]])*1440)</f>
        <v>14.00000000372529</v>
      </c>
      <c r="G743" s="2">
        <v>1549.63</v>
      </c>
      <c r="H743" s="2" t="str">
        <f>IF(quick_commerce_orders[[#This Row],[order_value]]&lt;500,"Low",IF(quick_commerce_orders[[#This Row],[order_value]]&gt;1500,"High","Moderate"))</f>
        <v>High</v>
      </c>
      <c r="I7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3" s="2" t="s">
        <v>15</v>
      </c>
      <c r="K743" s="2" t="s">
        <v>16</v>
      </c>
    </row>
    <row r="744" spans="1:11" x14ac:dyDescent="0.2">
      <c r="A744" s="2" t="s">
        <v>1502</v>
      </c>
      <c r="B744" s="2" t="s">
        <v>1503</v>
      </c>
      <c r="C744" s="2" t="s">
        <v>34</v>
      </c>
      <c r="D744" s="3">
        <v>46154.859780092593</v>
      </c>
      <c r="E744" s="3">
        <v>46154.872974537036</v>
      </c>
      <c r="F744" s="9">
        <f>IF($K744="cancelled"," ",(quick_commerce_orders[[#This Row],[delivery_time]]-quick_commerce_orders[[#This Row],[order_time]])*1440)</f>
        <v>18.999999999068677</v>
      </c>
      <c r="G744" s="2">
        <v>1120.69</v>
      </c>
      <c r="H744" s="2" t="str">
        <f>IF(quick_commerce_orders[[#This Row],[order_value]]&lt;500,"Low",IF(quick_commerce_orders[[#This Row],[order_value]]&gt;1500,"High","Moderate"))</f>
        <v>Moderate</v>
      </c>
      <c r="I7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4" s="2" t="s">
        <v>11</v>
      </c>
      <c r="K744" s="2" t="s">
        <v>16</v>
      </c>
    </row>
    <row r="745" spans="1:11" x14ac:dyDescent="0.2">
      <c r="A745" s="2" t="s">
        <v>1504</v>
      </c>
      <c r="B745" s="2" t="s">
        <v>1505</v>
      </c>
      <c r="C745" s="2" t="s">
        <v>27</v>
      </c>
      <c r="D745" s="3">
        <v>46160.206643518519</v>
      </c>
      <c r="E745" s="3">
        <v>46160.244837962964</v>
      </c>
      <c r="F745" s="9">
        <f>IF($K745="cancelled"," ",(quick_commerce_orders[[#This Row],[delivery_time]]-quick_commerce_orders[[#This Row],[order_time]])*1440)</f>
        <v>55.000000001164153</v>
      </c>
      <c r="G745" s="2">
        <v>530.51</v>
      </c>
      <c r="H745" s="2" t="str">
        <f>IF(quick_commerce_orders[[#This Row],[order_value]]&lt;500,"Low",IF(quick_commerce_orders[[#This Row],[order_value]]&gt;1500,"High","Moderate"))</f>
        <v>Moderate</v>
      </c>
      <c r="I7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45" s="2" t="s">
        <v>15</v>
      </c>
      <c r="K745" s="2" t="s">
        <v>12</v>
      </c>
    </row>
    <row r="746" spans="1:11" x14ac:dyDescent="0.2">
      <c r="A746" s="2" t="s">
        <v>1506</v>
      </c>
      <c r="B746" s="2" t="s">
        <v>1507</v>
      </c>
      <c r="C746" s="2" t="s">
        <v>31</v>
      </c>
      <c r="D746" s="3">
        <v>46155.365925925929</v>
      </c>
      <c r="E746" s="3">
        <v>46155.372870370367</v>
      </c>
      <c r="F746" s="9">
        <f>IF($K746="cancelled"," ",(quick_commerce_orders[[#This Row],[delivery_time]]-quick_commerce_orders[[#This Row],[order_time]])*1440)</f>
        <v>9.9999999906867743</v>
      </c>
      <c r="G746" s="2">
        <v>1321.6</v>
      </c>
      <c r="H746" s="2" t="str">
        <f>IF(quick_commerce_orders[[#This Row],[order_value]]&lt;500,"Low",IF(quick_commerce_orders[[#This Row],[order_value]]&gt;1500,"High","Moderate"))</f>
        <v>Moderate</v>
      </c>
      <c r="I7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46" s="2" t="s">
        <v>11</v>
      </c>
      <c r="K746" s="2" t="s">
        <v>16</v>
      </c>
    </row>
    <row r="747" spans="1:11" x14ac:dyDescent="0.2">
      <c r="A747" s="2" t="s">
        <v>1508</v>
      </c>
      <c r="B747" s="2" t="s">
        <v>1509</v>
      </c>
      <c r="C747" s="2" t="s">
        <v>31</v>
      </c>
      <c r="D747" s="3">
        <v>46147.961770833332</v>
      </c>
      <c r="E747" s="3">
        <v>46147.973576388889</v>
      </c>
      <c r="F747" s="9">
        <f>IF($K747="cancelled"," ",(quick_commerce_orders[[#This Row],[delivery_time]]-quick_commerce_orders[[#This Row],[order_time]])*1440)</f>
        <v>17.000000003026798</v>
      </c>
      <c r="G747" s="2">
        <v>1423.92</v>
      </c>
      <c r="H747" s="2" t="str">
        <f>IF(quick_commerce_orders[[#This Row],[order_value]]&lt;500,"Low",IF(quick_commerce_orders[[#This Row],[order_value]]&gt;1500,"High","Moderate"))</f>
        <v>Moderate</v>
      </c>
      <c r="I7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7" s="2" t="s">
        <v>39</v>
      </c>
      <c r="K747" s="2" t="s">
        <v>16</v>
      </c>
    </row>
    <row r="748" spans="1:11" x14ac:dyDescent="0.2">
      <c r="A748" s="2" t="s">
        <v>1510</v>
      </c>
      <c r="B748" s="2" t="s">
        <v>1511</v>
      </c>
      <c r="C748" s="2" t="s">
        <v>34</v>
      </c>
      <c r="D748" s="3">
        <v>46144.694456018522</v>
      </c>
      <c r="E748" s="3">
        <v>46144.706261574072</v>
      </c>
      <c r="F748" s="9">
        <f>IF($K748="cancelled"," ",(quick_commerce_orders[[#This Row],[delivery_time]]-quick_commerce_orders[[#This Row],[order_time]])*1440)</f>
        <v>16.999999992549419</v>
      </c>
      <c r="G748" s="2">
        <v>1179.1099999999999</v>
      </c>
      <c r="H748" s="2" t="str">
        <f>IF(quick_commerce_orders[[#This Row],[order_value]]&lt;500,"Low",IF(quick_commerce_orders[[#This Row],[order_value]]&gt;1500,"High","Moderate"))</f>
        <v>Moderate</v>
      </c>
      <c r="I7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8" s="2" t="s">
        <v>20</v>
      </c>
      <c r="K748" s="2" t="s">
        <v>16</v>
      </c>
    </row>
    <row r="749" spans="1:11" x14ac:dyDescent="0.2">
      <c r="A749" s="2" t="s">
        <v>1512</v>
      </c>
      <c r="B749" s="2" t="s">
        <v>1513</v>
      </c>
      <c r="C749" s="2" t="s">
        <v>42</v>
      </c>
      <c r="D749" s="3">
        <v>46168.759699074071</v>
      </c>
      <c r="E749" s="3">
        <v>46168.76803240741</v>
      </c>
      <c r="F749" s="9">
        <f>IF($K749="cancelled"," ",(quick_commerce_orders[[#This Row],[delivery_time]]-quick_commerce_orders[[#This Row],[order_time]])*1440)</f>
        <v>12.000000007683411</v>
      </c>
      <c r="G749" s="2">
        <v>951.74</v>
      </c>
      <c r="H749" s="2" t="str">
        <f>IF(quick_commerce_orders[[#This Row],[order_value]]&lt;500,"Low",IF(quick_commerce_orders[[#This Row],[order_value]]&gt;1500,"High","Moderate"))</f>
        <v>Moderate</v>
      </c>
      <c r="I7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49" s="2" t="s">
        <v>20</v>
      </c>
      <c r="K749" s="2" t="s">
        <v>16</v>
      </c>
    </row>
    <row r="750" spans="1:11" x14ac:dyDescent="0.2">
      <c r="A750" s="2" t="s">
        <v>1514</v>
      </c>
      <c r="B750" s="2" t="s">
        <v>1515</v>
      </c>
      <c r="C750" s="2" t="s">
        <v>53</v>
      </c>
      <c r="D750" s="3">
        <v>46145.719837962963</v>
      </c>
      <c r="E750" s="3">
        <v>46145.73164351852</v>
      </c>
      <c r="F750" s="9">
        <f>IF($K750="cancelled"," ",(quick_commerce_orders[[#This Row],[delivery_time]]-quick_commerce_orders[[#This Row],[order_time]])*1440)</f>
        <v>17.000000003026798</v>
      </c>
      <c r="G750" s="2">
        <v>544.9</v>
      </c>
      <c r="H750" s="2" t="str">
        <f>IF(quick_commerce_orders[[#This Row],[order_value]]&lt;500,"Low",IF(quick_commerce_orders[[#This Row],[order_value]]&gt;1500,"High","Moderate"))</f>
        <v>Moderate</v>
      </c>
      <c r="I7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0" s="2" t="s">
        <v>39</v>
      </c>
      <c r="K750" s="2" t="s">
        <v>16</v>
      </c>
    </row>
    <row r="751" spans="1:11" x14ac:dyDescent="0.2">
      <c r="A751" s="2" t="s">
        <v>1516</v>
      </c>
      <c r="B751" s="2" t="s">
        <v>1517</v>
      </c>
      <c r="C751" s="2" t="s">
        <v>53</v>
      </c>
      <c r="D751" s="3">
        <v>46173.867465277777</v>
      </c>
      <c r="E751" s="3">
        <v>46173.875104166669</v>
      </c>
      <c r="F751" s="9">
        <f>IF($K751="cancelled"," ",(quick_commerce_orders[[#This Row],[delivery_time]]-quick_commerce_orders[[#This Row],[order_time]])*1440)</f>
        <v>11.000000004423782</v>
      </c>
      <c r="G751" s="2">
        <v>1549.98</v>
      </c>
      <c r="H751" s="2" t="str">
        <f>IF(quick_commerce_orders[[#This Row],[order_value]]&lt;500,"Low",IF(quick_commerce_orders[[#This Row],[order_value]]&gt;1500,"High","Moderate"))</f>
        <v>High</v>
      </c>
      <c r="I7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1" s="2" t="s">
        <v>39</v>
      </c>
      <c r="K751" s="2" t="s">
        <v>16</v>
      </c>
    </row>
    <row r="752" spans="1:11" x14ac:dyDescent="0.2">
      <c r="A752" s="2" t="s">
        <v>1518</v>
      </c>
      <c r="B752" s="2" t="s">
        <v>1519</v>
      </c>
      <c r="C752" s="2" t="s">
        <v>75</v>
      </c>
      <c r="D752" s="3">
        <v>46166.510381944441</v>
      </c>
      <c r="E752" s="3">
        <v>46166.521493055552</v>
      </c>
      <c r="F752" s="9">
        <f>IF($K752="cancelled"," ",(quick_commerce_orders[[#This Row],[delivery_time]]-quick_commerce_orders[[#This Row],[order_time]])*1440)</f>
        <v>15.999999999767169</v>
      </c>
      <c r="G752" s="2">
        <v>1486.05</v>
      </c>
      <c r="H752" s="2" t="str">
        <f>IF(quick_commerce_orders[[#This Row],[order_value]]&lt;500,"Low",IF(quick_commerce_orders[[#This Row],[order_value]]&gt;1500,"High","Moderate"))</f>
        <v>Moderate</v>
      </c>
      <c r="I7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2" s="2" t="s">
        <v>28</v>
      </c>
      <c r="K752" s="2" t="s">
        <v>16</v>
      </c>
    </row>
    <row r="753" spans="1:11" x14ac:dyDescent="0.2">
      <c r="A753" s="2" t="s">
        <v>1520</v>
      </c>
      <c r="B753" s="2" t="s">
        <v>1521</v>
      </c>
      <c r="C753" s="2" t="s">
        <v>19</v>
      </c>
      <c r="D753" s="3">
        <v>46161.187175925923</v>
      </c>
      <c r="E753" s="3">
        <v>46161.200370370374</v>
      </c>
      <c r="F753" s="9">
        <f>IF($K753="cancelled"," ",(quick_commerce_orders[[#This Row],[delivery_time]]-quick_commerce_orders[[#This Row],[order_time]])*1440)</f>
        <v>19.000000009546056</v>
      </c>
      <c r="G753" s="2">
        <v>2131.33</v>
      </c>
      <c r="H753" s="2" t="str">
        <f>IF(quick_commerce_orders[[#This Row],[order_value]]&lt;500,"Low",IF(quick_commerce_orders[[#This Row],[order_value]]&gt;1500,"High","Moderate"))</f>
        <v>High</v>
      </c>
      <c r="I7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53" s="2" t="s">
        <v>39</v>
      </c>
      <c r="K753" s="2" t="s">
        <v>16</v>
      </c>
    </row>
    <row r="754" spans="1:11" x14ac:dyDescent="0.2">
      <c r="A754" s="2" t="s">
        <v>1522</v>
      </c>
      <c r="B754" s="2" t="s">
        <v>1523</v>
      </c>
      <c r="C754" s="2" t="s">
        <v>34</v>
      </c>
      <c r="D754" s="3">
        <v>46148.516342592593</v>
      </c>
      <c r="E754" s="3">
        <v>46148.52884259259</v>
      </c>
      <c r="F754" s="9">
        <f>IF($K754="cancelled"," ",(quick_commerce_orders[[#This Row],[delivery_time]]-quick_commerce_orders[[#This Row],[order_time]])*1440)</f>
        <v>17.999999995809048</v>
      </c>
      <c r="G754" s="2">
        <v>667.2</v>
      </c>
      <c r="H754" s="2" t="str">
        <f>IF(quick_commerce_orders[[#This Row],[order_value]]&lt;500,"Low",IF(quick_commerce_orders[[#This Row],[order_value]]&gt;1500,"High","Moderate"))</f>
        <v>Moderate</v>
      </c>
      <c r="I7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4" s="2" t="s">
        <v>20</v>
      </c>
      <c r="K754" s="2" t="s">
        <v>16</v>
      </c>
    </row>
    <row r="755" spans="1:11" x14ac:dyDescent="0.2">
      <c r="A755" s="2" t="s">
        <v>1524</v>
      </c>
      <c r="B755" s="2" t="s">
        <v>1525</v>
      </c>
      <c r="C755" s="2" t="s">
        <v>19</v>
      </c>
      <c r="D755" s="3">
        <v>46143.886041666665</v>
      </c>
      <c r="E755" s="3"/>
      <c r="F755" s="9" t="str">
        <f>IF($K755="cancelled"," ",(quick_commerce_orders[[#This Row],[delivery_time]]-quick_commerce_orders[[#This Row],[order_time]])*1440)</f>
        <v xml:space="preserve"> </v>
      </c>
      <c r="G755" s="2">
        <v>1303.1500000000001</v>
      </c>
      <c r="H755" s="2" t="str">
        <f>IF(quick_commerce_orders[[#This Row],[order_value]]&lt;500,"Low",IF(quick_commerce_orders[[#This Row],[order_value]]&gt;1500,"High","Moderate"))</f>
        <v>Moderate</v>
      </c>
      <c r="I7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5" s="2" t="s">
        <v>80</v>
      </c>
      <c r="K755" s="2" t="s">
        <v>58</v>
      </c>
    </row>
    <row r="756" spans="1:11" x14ac:dyDescent="0.2">
      <c r="A756" s="2" t="s">
        <v>1526</v>
      </c>
      <c r="B756" s="2" t="s">
        <v>1527</v>
      </c>
      <c r="C756" s="2" t="s">
        <v>19</v>
      </c>
      <c r="D756" s="3">
        <v>46153.672546296293</v>
      </c>
      <c r="E756" s="3">
        <v>46153.682962962965</v>
      </c>
      <c r="F756" s="9">
        <f>IF($K756="cancelled"," ",(quick_commerce_orders[[#This Row],[delivery_time]]-quick_commerce_orders[[#This Row],[order_time]])*1440)</f>
        <v>15.000000006984919</v>
      </c>
      <c r="G756" s="2">
        <v>1085.01</v>
      </c>
      <c r="H756" s="2" t="str">
        <f>IF(quick_commerce_orders[[#This Row],[order_value]]&lt;500,"Low",IF(quick_commerce_orders[[#This Row],[order_value]]&gt;1500,"High","Moderate"))</f>
        <v>Moderate</v>
      </c>
      <c r="I7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6" s="2" t="s">
        <v>80</v>
      </c>
      <c r="K756" s="2" t="s">
        <v>16</v>
      </c>
    </row>
    <row r="757" spans="1:11" x14ac:dyDescent="0.2">
      <c r="A757" s="2" t="s">
        <v>1528</v>
      </c>
      <c r="B757" s="2" t="s">
        <v>1529</v>
      </c>
      <c r="C757" s="2" t="s">
        <v>53</v>
      </c>
      <c r="D757" s="3">
        <v>46153.233749999999</v>
      </c>
      <c r="E757" s="3">
        <v>46153.242083333331</v>
      </c>
      <c r="F757" s="9">
        <f>IF($K757="cancelled"," ",(quick_commerce_orders[[#This Row],[delivery_time]]-quick_commerce_orders[[#This Row],[order_time]])*1440)</f>
        <v>11.999999997206032</v>
      </c>
      <c r="G757" s="2">
        <v>1409.8</v>
      </c>
      <c r="H757" s="2" t="str">
        <f>IF(quick_commerce_orders[[#This Row],[order_value]]&lt;500,"Low",IF(quick_commerce_orders[[#This Row],[order_value]]&gt;1500,"High","Moderate"))</f>
        <v>Moderate</v>
      </c>
      <c r="I7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57" s="2" t="s">
        <v>11</v>
      </c>
      <c r="K757" s="2" t="s">
        <v>16</v>
      </c>
    </row>
    <row r="758" spans="1:11" x14ac:dyDescent="0.2">
      <c r="A758" s="2" t="s">
        <v>1530</v>
      </c>
      <c r="B758" s="2" t="s">
        <v>1531</v>
      </c>
      <c r="C758" s="2" t="s">
        <v>42</v>
      </c>
      <c r="D758" s="3">
        <v>46152.990624999999</v>
      </c>
      <c r="E758" s="3">
        <v>46152.998263888891</v>
      </c>
      <c r="F758" s="9">
        <f>IF($K758="cancelled"," ",(quick_commerce_orders[[#This Row],[delivery_time]]-quick_commerce_orders[[#This Row],[order_time]])*1440)</f>
        <v>11.000000004423782</v>
      </c>
      <c r="G758" s="2">
        <v>979.73</v>
      </c>
      <c r="H758" s="2" t="str">
        <f>IF(quick_commerce_orders[[#This Row],[order_value]]&lt;500,"Low",IF(quick_commerce_orders[[#This Row],[order_value]]&gt;1500,"High","Moderate"))</f>
        <v>Moderate</v>
      </c>
      <c r="I7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58" s="2" t="s">
        <v>80</v>
      </c>
      <c r="K758" s="2" t="s">
        <v>16</v>
      </c>
    </row>
    <row r="759" spans="1:11" x14ac:dyDescent="0.2">
      <c r="A759" s="2" t="s">
        <v>1532</v>
      </c>
      <c r="B759" s="2" t="s">
        <v>1533</v>
      </c>
      <c r="C759" s="2" t="s">
        <v>31</v>
      </c>
      <c r="D759" s="3">
        <v>46165.051944444444</v>
      </c>
      <c r="E759" s="3">
        <v>46165.057500000003</v>
      </c>
      <c r="F759" s="9">
        <f>IF($K759="cancelled"," ",(quick_commerce_orders[[#This Row],[delivery_time]]-quick_commerce_orders[[#This Row],[order_time]])*1440)</f>
        <v>8.0000000051222742</v>
      </c>
      <c r="G759" s="2">
        <v>2446.7600000000002</v>
      </c>
      <c r="H759" s="2" t="str">
        <f>IF(quick_commerce_orders[[#This Row],[order_value]]&lt;500,"Low",IF(quick_commerce_orders[[#This Row],[order_value]]&gt;1500,"High","Moderate"))</f>
        <v>High</v>
      </c>
      <c r="I7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59" s="2" t="s">
        <v>28</v>
      </c>
      <c r="K759" s="2" t="s">
        <v>16</v>
      </c>
    </row>
    <row r="760" spans="1:11" x14ac:dyDescent="0.2">
      <c r="A760" s="2" t="s">
        <v>1534</v>
      </c>
      <c r="B760" s="2" t="s">
        <v>1535</v>
      </c>
      <c r="C760" s="2" t="s">
        <v>53</v>
      </c>
      <c r="D760" s="3">
        <v>46174.294629629629</v>
      </c>
      <c r="E760" s="3">
        <v>46174.301574074074</v>
      </c>
      <c r="F760" s="9">
        <f>IF($K760="cancelled"," ",(quick_commerce_orders[[#This Row],[delivery_time]]-quick_commerce_orders[[#This Row],[order_time]])*1440)</f>
        <v>10.000000001164153</v>
      </c>
      <c r="G760" s="2">
        <v>1462.56</v>
      </c>
      <c r="H760" s="2" t="str">
        <f>IF(quick_commerce_orders[[#This Row],[order_value]]&lt;500,"Low",IF(quick_commerce_orders[[#This Row],[order_value]]&gt;1500,"High","Moderate"))</f>
        <v>Moderate</v>
      </c>
      <c r="I7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60" s="2" t="s">
        <v>20</v>
      </c>
      <c r="K760" s="2" t="s">
        <v>16</v>
      </c>
    </row>
    <row r="761" spans="1:11" x14ac:dyDescent="0.2">
      <c r="A761" s="2" t="s">
        <v>1536</v>
      </c>
      <c r="B761" s="2" t="s">
        <v>1537</v>
      </c>
      <c r="C761" s="2" t="s">
        <v>34</v>
      </c>
      <c r="D761" s="3">
        <v>46166.293541666666</v>
      </c>
      <c r="E761" s="3">
        <v>46166.30395833333</v>
      </c>
      <c r="F761" s="9">
        <f>IF($K761="cancelled"," ",(quick_commerce_orders[[#This Row],[delivery_time]]-quick_commerce_orders[[#This Row],[order_time]])*1440)</f>
        <v>14.99999999650754</v>
      </c>
      <c r="G761" s="2">
        <v>1790.72</v>
      </c>
      <c r="H761" s="2" t="str">
        <f>IF(quick_commerce_orders[[#This Row],[order_value]]&lt;500,"Low",IF(quick_commerce_orders[[#This Row],[order_value]]&gt;1500,"High","Moderate"))</f>
        <v>High</v>
      </c>
      <c r="I7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61" s="2" t="s">
        <v>15</v>
      </c>
      <c r="K761" s="2" t="s">
        <v>16</v>
      </c>
    </row>
    <row r="762" spans="1:11" x14ac:dyDescent="0.2">
      <c r="A762" s="2" t="s">
        <v>1538</v>
      </c>
      <c r="B762" s="2" t="s">
        <v>1539</v>
      </c>
      <c r="C762" s="2" t="s">
        <v>34</v>
      </c>
      <c r="D762" s="3">
        <v>46156.70752314815</v>
      </c>
      <c r="E762" s="3">
        <v>46156.713773148149</v>
      </c>
      <c r="F762" s="9">
        <f>IF($K762="cancelled"," ",(quick_commerce_orders[[#This Row],[delivery_time]]-quick_commerce_orders[[#This Row],[order_time]])*1440)</f>
        <v>8.9999999979045242</v>
      </c>
      <c r="G762" s="2">
        <v>370.59</v>
      </c>
      <c r="H762" s="2" t="str">
        <f>IF(quick_commerce_orders[[#This Row],[order_value]]&lt;500,"Low",IF(quick_commerce_orders[[#This Row],[order_value]]&gt;1500,"High","Moderate"))</f>
        <v>Low</v>
      </c>
      <c r="I7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2" s="2" t="s">
        <v>15</v>
      </c>
      <c r="K762" s="2" t="s">
        <v>16</v>
      </c>
    </row>
    <row r="763" spans="1:11" x14ac:dyDescent="0.2">
      <c r="A763" s="2" t="s">
        <v>1540</v>
      </c>
      <c r="B763" s="2" t="s">
        <v>1541</v>
      </c>
      <c r="C763" s="2" t="s">
        <v>31</v>
      </c>
      <c r="D763" s="3">
        <v>46166.521504629629</v>
      </c>
      <c r="E763" s="3">
        <v>46166.531226851854</v>
      </c>
      <c r="F763" s="9">
        <f>IF($K763="cancelled"," ",(quick_commerce_orders[[#This Row],[delivery_time]]-quick_commerce_orders[[#This Row],[order_time]])*1440)</f>
        <v>14.00000000372529</v>
      </c>
      <c r="G763" s="2">
        <v>1254.68</v>
      </c>
      <c r="H763" s="2" t="str">
        <f>IF(quick_commerce_orders[[#This Row],[order_value]]&lt;500,"Low",IF(quick_commerce_orders[[#This Row],[order_value]]&gt;1500,"High","Moderate"))</f>
        <v>Moderate</v>
      </c>
      <c r="I7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3" s="2" t="s">
        <v>80</v>
      </c>
      <c r="K763" s="2" t="s">
        <v>16</v>
      </c>
    </row>
    <row r="764" spans="1:11" x14ac:dyDescent="0.2">
      <c r="A764" s="2" t="s">
        <v>1542</v>
      </c>
      <c r="B764" s="2" t="s">
        <v>1543</v>
      </c>
      <c r="C764" s="2" t="s">
        <v>42</v>
      </c>
      <c r="D764" s="3">
        <v>46172.043530092589</v>
      </c>
      <c r="E764" s="3">
        <v>46172.055335648147</v>
      </c>
      <c r="F764" s="9">
        <f>IF($K764="cancelled"," ",(quick_commerce_orders[[#This Row],[delivery_time]]-quick_commerce_orders[[#This Row],[order_time]])*1440)</f>
        <v>17.000000003026798</v>
      </c>
      <c r="G764" s="2">
        <v>1756.19</v>
      </c>
      <c r="H764" s="2" t="str">
        <f>IF(quick_commerce_orders[[#This Row],[order_value]]&lt;500,"Low",IF(quick_commerce_orders[[#This Row],[order_value]]&gt;1500,"High","Moderate"))</f>
        <v>High</v>
      </c>
      <c r="I7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64" s="2" t="s">
        <v>28</v>
      </c>
      <c r="K764" s="2" t="s">
        <v>16</v>
      </c>
    </row>
    <row r="765" spans="1:11" x14ac:dyDescent="0.2">
      <c r="A765" s="2" t="s">
        <v>1544</v>
      </c>
      <c r="B765" s="2" t="s">
        <v>1545</v>
      </c>
      <c r="C765" s="2" t="s">
        <v>42</v>
      </c>
      <c r="D765" s="3">
        <v>46163.156631944446</v>
      </c>
      <c r="E765" s="3">
        <v>46163.170520833337</v>
      </c>
      <c r="F765" s="9">
        <f>IF($K765="cancelled"," ",(quick_commerce_orders[[#This Row],[delivery_time]]-quick_commerce_orders[[#This Row],[order_time]])*1440)</f>
        <v>20.000000002328306</v>
      </c>
      <c r="G765" s="2">
        <v>440.01</v>
      </c>
      <c r="H765" s="2" t="str">
        <f>IF(quick_commerce_orders[[#This Row],[order_value]]&lt;500,"Low",IF(quick_commerce_orders[[#This Row],[order_value]]&gt;1500,"High","Moderate"))</f>
        <v>Low</v>
      </c>
      <c r="I7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65" s="2" t="s">
        <v>11</v>
      </c>
      <c r="K765" s="2" t="s">
        <v>16</v>
      </c>
    </row>
    <row r="766" spans="1:11" x14ac:dyDescent="0.2">
      <c r="A766" s="2" t="s">
        <v>1546</v>
      </c>
      <c r="B766" s="2" t="s">
        <v>1547</v>
      </c>
      <c r="C766" s="2" t="s">
        <v>42</v>
      </c>
      <c r="D766" s="3">
        <v>46160.969872685186</v>
      </c>
      <c r="E766" s="3">
        <v>46160.977511574078</v>
      </c>
      <c r="F766" s="9">
        <f>IF($K766="cancelled"," ",(quick_commerce_orders[[#This Row],[delivery_time]]-quick_commerce_orders[[#This Row],[order_time]])*1440)</f>
        <v>11.000000004423782</v>
      </c>
      <c r="G766" s="2">
        <v>1854.1</v>
      </c>
      <c r="H766" s="2" t="str">
        <f>IF(quick_commerce_orders[[#This Row],[order_value]]&lt;500,"Low",IF(quick_commerce_orders[[#This Row],[order_value]]&gt;1500,"High","Moderate"))</f>
        <v>High</v>
      </c>
      <c r="I7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6" s="2" t="s">
        <v>80</v>
      </c>
      <c r="K766" s="2" t="s">
        <v>16</v>
      </c>
    </row>
    <row r="767" spans="1:11" x14ac:dyDescent="0.2">
      <c r="A767" s="2" t="s">
        <v>1548</v>
      </c>
      <c r="B767" s="2" t="s">
        <v>1549</v>
      </c>
      <c r="C767" s="2" t="s">
        <v>19</v>
      </c>
      <c r="D767" s="3">
        <v>46154.528749999998</v>
      </c>
      <c r="E767" s="3">
        <v>46154.539861111109</v>
      </c>
      <c r="F767" s="9">
        <f>IF($K767="cancelled"," ",(quick_commerce_orders[[#This Row],[delivery_time]]-quick_commerce_orders[[#This Row],[order_time]])*1440)</f>
        <v>15.999999999767169</v>
      </c>
      <c r="G767" s="2">
        <v>2459.59</v>
      </c>
      <c r="H767" s="2" t="str">
        <f>IF(quick_commerce_orders[[#This Row],[order_value]]&lt;500,"Low",IF(quick_commerce_orders[[#This Row],[order_value]]&gt;1500,"High","Moderate"))</f>
        <v>High</v>
      </c>
      <c r="I7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7" s="2" t="s">
        <v>39</v>
      </c>
      <c r="K767" s="2" t="s">
        <v>16</v>
      </c>
    </row>
    <row r="768" spans="1:11" x14ac:dyDescent="0.2">
      <c r="A768" s="2" t="s">
        <v>1550</v>
      </c>
      <c r="B768" s="2" t="s">
        <v>1551</v>
      </c>
      <c r="C768" s="2" t="s">
        <v>27</v>
      </c>
      <c r="D768" s="3">
        <v>46166.779131944444</v>
      </c>
      <c r="E768" s="3"/>
      <c r="F768" s="9" t="str">
        <f>IF($K768="cancelled"," ",(quick_commerce_orders[[#This Row],[delivery_time]]-quick_commerce_orders[[#This Row],[order_time]])*1440)</f>
        <v xml:space="preserve"> </v>
      </c>
      <c r="G768" s="2">
        <v>2459.8000000000002</v>
      </c>
      <c r="H768" s="2" t="str">
        <f>IF(quick_commerce_orders[[#This Row],[order_value]]&lt;500,"Low",IF(quick_commerce_orders[[#This Row],[order_value]]&gt;1500,"High","Moderate"))</f>
        <v>High</v>
      </c>
      <c r="I7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8" s="2" t="s">
        <v>11</v>
      </c>
      <c r="K768" s="2" t="s">
        <v>58</v>
      </c>
    </row>
    <row r="769" spans="1:11" x14ac:dyDescent="0.2">
      <c r="A769" s="2" t="s">
        <v>1552</v>
      </c>
      <c r="B769" s="2" t="s">
        <v>1553</v>
      </c>
      <c r="C769" s="2" t="s">
        <v>53</v>
      </c>
      <c r="D769" s="3">
        <v>46147.678055555552</v>
      </c>
      <c r="E769" s="3">
        <v>46147.687083333331</v>
      </c>
      <c r="F769" s="9">
        <f>IF($K769="cancelled"," ",(quick_commerce_orders[[#This Row],[delivery_time]]-quick_commerce_orders[[#This Row],[order_time]])*1440)</f>
        <v>13.000000000465661</v>
      </c>
      <c r="G769" s="2">
        <v>1968.29</v>
      </c>
      <c r="H769" s="2" t="str">
        <f>IF(quick_commerce_orders[[#This Row],[order_value]]&lt;500,"Low",IF(quick_commerce_orders[[#This Row],[order_value]]&gt;1500,"High","Moderate"))</f>
        <v>High</v>
      </c>
      <c r="I7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69" s="2" t="s">
        <v>39</v>
      </c>
      <c r="K769" s="2" t="s">
        <v>16</v>
      </c>
    </row>
    <row r="770" spans="1:11" x14ac:dyDescent="0.2">
      <c r="A770" s="2" t="s">
        <v>1554</v>
      </c>
      <c r="B770" s="2" t="s">
        <v>1555</v>
      </c>
      <c r="C770" s="2" t="s">
        <v>42</v>
      </c>
      <c r="D770" s="3">
        <v>46157.684282407405</v>
      </c>
      <c r="E770" s="3">
        <v>46157.696087962962</v>
      </c>
      <c r="F770" s="9">
        <f>IF($K770="cancelled"," ",(quick_commerce_orders[[#This Row],[delivery_time]]-quick_commerce_orders[[#This Row],[order_time]])*1440)</f>
        <v>17.000000003026798</v>
      </c>
      <c r="G770" s="2">
        <v>1214.8499999999999</v>
      </c>
      <c r="H770" s="2" t="str">
        <f>IF(quick_commerce_orders[[#This Row],[order_value]]&lt;500,"Low",IF(quick_commerce_orders[[#This Row],[order_value]]&gt;1500,"High","Moderate"))</f>
        <v>Moderate</v>
      </c>
      <c r="I7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0" s="2" t="s">
        <v>28</v>
      </c>
      <c r="K770" s="2" t="s">
        <v>16</v>
      </c>
    </row>
    <row r="771" spans="1:11" x14ac:dyDescent="0.2">
      <c r="A771" s="2" t="s">
        <v>1556</v>
      </c>
      <c r="B771" s="2" t="s">
        <v>1557</v>
      </c>
      <c r="C771" s="2" t="s">
        <v>75</v>
      </c>
      <c r="D771" s="3">
        <v>46165.660069444442</v>
      </c>
      <c r="E771" s="3">
        <v>46165.670486111114</v>
      </c>
      <c r="F771" s="9">
        <f>IF($K771="cancelled"," ",(quick_commerce_orders[[#This Row],[delivery_time]]-quick_commerce_orders[[#This Row],[order_time]])*1440)</f>
        <v>15.000000006984919</v>
      </c>
      <c r="G771" s="2">
        <v>286.76</v>
      </c>
      <c r="H771" s="2" t="str">
        <f>IF(quick_commerce_orders[[#This Row],[order_value]]&lt;500,"Low",IF(quick_commerce_orders[[#This Row],[order_value]]&gt;1500,"High","Moderate"))</f>
        <v>Low</v>
      </c>
      <c r="I7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1" s="2" t="s">
        <v>28</v>
      </c>
      <c r="K771" s="2" t="s">
        <v>16</v>
      </c>
    </row>
    <row r="772" spans="1:11" x14ac:dyDescent="0.2">
      <c r="A772" s="2" t="s">
        <v>1558</v>
      </c>
      <c r="B772" s="2" t="s">
        <v>1559</v>
      </c>
      <c r="C772" s="2" t="s">
        <v>42</v>
      </c>
      <c r="D772" s="3">
        <v>46143.705648148149</v>
      </c>
      <c r="E772" s="3">
        <v>46143.716064814813</v>
      </c>
      <c r="F772" s="9">
        <f>IF($K772="cancelled"," ",(quick_commerce_orders[[#This Row],[delivery_time]]-quick_commerce_orders[[#This Row],[order_time]])*1440)</f>
        <v>14.99999999650754</v>
      </c>
      <c r="G772" s="2">
        <v>2234.8000000000002</v>
      </c>
      <c r="H772" s="2" t="str">
        <f>IF(quick_commerce_orders[[#This Row],[order_value]]&lt;500,"Low",IF(quick_commerce_orders[[#This Row],[order_value]]&gt;1500,"High","Moderate"))</f>
        <v>High</v>
      </c>
      <c r="I7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2" s="2" t="s">
        <v>11</v>
      </c>
      <c r="K772" s="2" t="s">
        <v>16</v>
      </c>
    </row>
    <row r="773" spans="1:11" x14ac:dyDescent="0.2">
      <c r="A773" s="2" t="s">
        <v>1560</v>
      </c>
      <c r="B773" s="2" t="s">
        <v>1561</v>
      </c>
      <c r="C773" s="2" t="s">
        <v>42</v>
      </c>
      <c r="D773" s="3">
        <v>46171.218101851853</v>
      </c>
      <c r="E773" s="3">
        <v>46171.228518518517</v>
      </c>
      <c r="F773" s="9">
        <f>IF($K773="cancelled"," ",(quick_commerce_orders[[#This Row],[delivery_time]]-quick_commerce_orders[[#This Row],[order_time]])*1440)</f>
        <v>14.99999999650754</v>
      </c>
      <c r="G773" s="2">
        <v>311.27</v>
      </c>
      <c r="H773" s="2" t="str">
        <f>IF(quick_commerce_orders[[#This Row],[order_value]]&lt;500,"Low",IF(quick_commerce_orders[[#This Row],[order_value]]&gt;1500,"High","Moderate"))</f>
        <v>Low</v>
      </c>
      <c r="I7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73" s="2" t="s">
        <v>28</v>
      </c>
      <c r="K773" s="2" t="s">
        <v>16</v>
      </c>
    </row>
    <row r="774" spans="1:11" x14ac:dyDescent="0.2">
      <c r="A774" s="2" t="s">
        <v>1562</v>
      </c>
      <c r="B774" s="2" t="s">
        <v>1563</v>
      </c>
      <c r="C774" s="2" t="s">
        <v>31</v>
      </c>
      <c r="D774" s="3">
        <v>46160.256377314814</v>
      </c>
      <c r="E774" s="3">
        <v>46160.268182870372</v>
      </c>
      <c r="F774" s="9">
        <f>IF($K774="cancelled"," ",(quick_commerce_orders[[#This Row],[delivery_time]]-quick_commerce_orders[[#This Row],[order_time]])*1440)</f>
        <v>17.000000003026798</v>
      </c>
      <c r="G774" s="2">
        <v>1232.8800000000001</v>
      </c>
      <c r="H774" s="2" t="str">
        <f>IF(quick_commerce_orders[[#This Row],[order_value]]&lt;500,"Low",IF(quick_commerce_orders[[#This Row],[order_value]]&gt;1500,"High","Moderate"))</f>
        <v>Moderate</v>
      </c>
      <c r="I7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74" s="2" t="s">
        <v>11</v>
      </c>
      <c r="K774" s="2" t="s">
        <v>16</v>
      </c>
    </row>
    <row r="775" spans="1:11" x14ac:dyDescent="0.2">
      <c r="A775" s="2" t="s">
        <v>1564</v>
      </c>
      <c r="B775" s="2" t="s">
        <v>1565</v>
      </c>
      <c r="C775" s="2" t="s">
        <v>10</v>
      </c>
      <c r="D775" s="3">
        <v>46153.485243055555</v>
      </c>
      <c r="E775" s="3">
        <v>46153.490798611114</v>
      </c>
      <c r="F775" s="9">
        <f>IF($K775="cancelled"," ",(quick_commerce_orders[[#This Row],[delivery_time]]-quick_commerce_orders[[#This Row],[order_time]])*1440)</f>
        <v>8.0000000051222742</v>
      </c>
      <c r="G775" s="2">
        <v>1879.05</v>
      </c>
      <c r="H775" s="2" t="str">
        <f>IF(quick_commerce_orders[[#This Row],[order_value]]&lt;500,"Low",IF(quick_commerce_orders[[#This Row],[order_value]]&gt;1500,"High","Moderate"))</f>
        <v>High</v>
      </c>
      <c r="I7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75" s="2" t="s">
        <v>28</v>
      </c>
      <c r="K775" s="2" t="s">
        <v>16</v>
      </c>
    </row>
    <row r="776" spans="1:11" x14ac:dyDescent="0.2">
      <c r="A776" s="2" t="s">
        <v>1566</v>
      </c>
      <c r="B776" s="2" t="s">
        <v>1567</v>
      </c>
      <c r="C776" s="2" t="s">
        <v>31</v>
      </c>
      <c r="D776" s="3">
        <v>46150.885023148148</v>
      </c>
      <c r="E776" s="3">
        <v>46150.898217592592</v>
      </c>
      <c r="F776" s="9">
        <f>IF($K776="cancelled"," ",(quick_commerce_orders[[#This Row],[delivery_time]]-quick_commerce_orders[[#This Row],[order_time]])*1440)</f>
        <v>18.999999999068677</v>
      </c>
      <c r="G776" s="2">
        <v>2403.9899999999998</v>
      </c>
      <c r="H776" s="2" t="str">
        <f>IF(quick_commerce_orders[[#This Row],[order_value]]&lt;500,"Low",IF(quick_commerce_orders[[#This Row],[order_value]]&gt;1500,"High","Moderate"))</f>
        <v>High</v>
      </c>
      <c r="I7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6" s="2" t="s">
        <v>80</v>
      </c>
      <c r="K776" s="2" t="s">
        <v>16</v>
      </c>
    </row>
    <row r="777" spans="1:11" x14ac:dyDescent="0.2">
      <c r="A777" s="2" t="s">
        <v>1568</v>
      </c>
      <c r="B777" s="2" t="s">
        <v>1569</v>
      </c>
      <c r="C777" s="2" t="s">
        <v>75</v>
      </c>
      <c r="D777" s="3">
        <v>46164.963541666664</v>
      </c>
      <c r="E777" s="3">
        <v>46164.96979166667</v>
      </c>
      <c r="F777" s="9">
        <f>IF($K777="cancelled"," ",(quick_commerce_orders[[#This Row],[delivery_time]]-quick_commerce_orders[[#This Row],[order_time]])*1440)</f>
        <v>9.0000000083819032</v>
      </c>
      <c r="G777" s="2">
        <v>286.39999999999998</v>
      </c>
      <c r="H777" s="2" t="str">
        <f>IF(quick_commerce_orders[[#This Row],[order_value]]&lt;500,"Low",IF(quick_commerce_orders[[#This Row],[order_value]]&gt;1500,"High","Moderate"))</f>
        <v>Low</v>
      </c>
      <c r="I7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7" s="2" t="s">
        <v>28</v>
      </c>
      <c r="K777" s="2" t="s">
        <v>16</v>
      </c>
    </row>
    <row r="778" spans="1:11" x14ac:dyDescent="0.2">
      <c r="A778" s="2" t="s">
        <v>1570</v>
      </c>
      <c r="B778" s="2" t="s">
        <v>1571</v>
      </c>
      <c r="C778" s="2" t="s">
        <v>53</v>
      </c>
      <c r="D778" s="3">
        <v>46173.634456018517</v>
      </c>
      <c r="E778" s="3">
        <v>46173.642789351848</v>
      </c>
      <c r="F778" s="9">
        <f>IF($K778="cancelled"," ",(quick_commerce_orders[[#This Row],[delivery_time]]-quick_commerce_orders[[#This Row],[order_time]])*1440)</f>
        <v>11.999999997206032</v>
      </c>
      <c r="G778" s="2">
        <v>1619.85</v>
      </c>
      <c r="H778" s="2" t="str">
        <f>IF(quick_commerce_orders[[#This Row],[order_value]]&lt;500,"Low",IF(quick_commerce_orders[[#This Row],[order_value]]&gt;1500,"High","Moderate"))</f>
        <v>High</v>
      </c>
      <c r="I7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8" s="2" t="s">
        <v>28</v>
      </c>
      <c r="K778" s="2" t="s">
        <v>16</v>
      </c>
    </row>
    <row r="779" spans="1:11" x14ac:dyDescent="0.2">
      <c r="A779" s="2" t="s">
        <v>1572</v>
      </c>
      <c r="B779" s="2" t="s">
        <v>1573</v>
      </c>
      <c r="C779" s="2" t="s">
        <v>75</v>
      </c>
      <c r="D779" s="3">
        <v>46153.870439814818</v>
      </c>
      <c r="E779" s="3">
        <v>46153.882939814815</v>
      </c>
      <c r="F779" s="9">
        <f>IF($K779="cancelled"," ",(quick_commerce_orders[[#This Row],[delivery_time]]-quick_commerce_orders[[#This Row],[order_time]])*1440)</f>
        <v>17.999999995809048</v>
      </c>
      <c r="G779" s="2">
        <v>2014.44</v>
      </c>
      <c r="H779" s="2" t="str">
        <f>IF(quick_commerce_orders[[#This Row],[order_value]]&lt;500,"Low",IF(quick_commerce_orders[[#This Row],[order_value]]&gt;1500,"High","Moderate"))</f>
        <v>High</v>
      </c>
      <c r="I7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79" s="2" t="s">
        <v>28</v>
      </c>
      <c r="K779" s="2" t="s">
        <v>16</v>
      </c>
    </row>
    <row r="780" spans="1:11" x14ac:dyDescent="0.2">
      <c r="A780" s="2" t="s">
        <v>1574</v>
      </c>
      <c r="B780" s="2" t="s">
        <v>1575</v>
      </c>
      <c r="C780" s="2" t="s">
        <v>10</v>
      </c>
      <c r="D780" s="3">
        <v>46144.29314814815</v>
      </c>
      <c r="E780" s="3"/>
      <c r="F780" s="9" t="str">
        <f>IF($K780="cancelled"," ",(quick_commerce_orders[[#This Row],[delivery_time]]-quick_commerce_orders[[#This Row],[order_time]])*1440)</f>
        <v xml:space="preserve"> </v>
      </c>
      <c r="G780" s="2">
        <v>849</v>
      </c>
      <c r="H780" s="2" t="str">
        <f>IF(quick_commerce_orders[[#This Row],[order_value]]&lt;500,"Low",IF(quick_commerce_orders[[#This Row],[order_value]]&gt;1500,"High","Moderate"))</f>
        <v>Moderate</v>
      </c>
      <c r="I7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0" s="2" t="s">
        <v>39</v>
      </c>
      <c r="K780" s="2" t="s">
        <v>58</v>
      </c>
    </row>
    <row r="781" spans="1:11" x14ac:dyDescent="0.2">
      <c r="A781" s="2" t="s">
        <v>1576</v>
      </c>
      <c r="B781" s="2" t="s">
        <v>172</v>
      </c>
      <c r="C781" s="2" t="s">
        <v>75</v>
      </c>
      <c r="D781" s="3">
        <v>46153.194814814815</v>
      </c>
      <c r="E781" s="3">
        <v>46153.232314814813</v>
      </c>
      <c r="F781" s="9">
        <f>IF($K781="cancelled"," ",(quick_commerce_orders[[#This Row],[delivery_time]]-quick_commerce_orders[[#This Row],[order_time]])*1440)</f>
        <v>53.999999997904524</v>
      </c>
      <c r="G781" s="2">
        <v>225.66</v>
      </c>
      <c r="H781" s="2" t="str">
        <f>IF(quick_commerce_orders[[#This Row],[order_value]]&lt;500,"Low",IF(quick_commerce_orders[[#This Row],[order_value]]&gt;1500,"High","Moderate"))</f>
        <v>Low</v>
      </c>
      <c r="I7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81" s="2" t="s">
        <v>20</v>
      </c>
      <c r="K781" s="2" t="s">
        <v>12</v>
      </c>
    </row>
    <row r="782" spans="1:11" x14ac:dyDescent="0.2">
      <c r="A782" s="2" t="s">
        <v>1577</v>
      </c>
      <c r="B782" s="2" t="s">
        <v>1578</v>
      </c>
      <c r="C782" s="2" t="s">
        <v>42</v>
      </c>
      <c r="D782" s="3">
        <v>46145.756284722222</v>
      </c>
      <c r="E782" s="3"/>
      <c r="F782" s="9" t="str">
        <f>IF($K782="cancelled"," ",(quick_commerce_orders[[#This Row],[delivery_time]]-quick_commerce_orders[[#This Row],[order_time]])*1440)</f>
        <v xml:space="preserve"> </v>
      </c>
      <c r="G782" s="2">
        <v>923.51</v>
      </c>
      <c r="H782" s="2" t="str">
        <f>IF(quick_commerce_orders[[#This Row],[order_value]]&lt;500,"Low",IF(quick_commerce_orders[[#This Row],[order_value]]&gt;1500,"High","Moderate"))</f>
        <v>Moderate</v>
      </c>
      <c r="I7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2" s="2" t="s">
        <v>11</v>
      </c>
      <c r="K782" s="2" t="s">
        <v>58</v>
      </c>
    </row>
    <row r="783" spans="1:11" x14ac:dyDescent="0.2">
      <c r="A783" s="2" t="s">
        <v>1579</v>
      </c>
      <c r="B783" s="2" t="s">
        <v>1580</v>
      </c>
      <c r="C783" s="2" t="s">
        <v>75</v>
      </c>
      <c r="D783" s="3">
        <v>46153.374432870369</v>
      </c>
      <c r="E783" s="3">
        <v>46153.383460648147</v>
      </c>
      <c r="F783" s="9">
        <f>IF($K783="cancelled"," ",(quick_commerce_orders[[#This Row],[delivery_time]]-quick_commerce_orders[[#This Row],[order_time]])*1440)</f>
        <v>13.000000000465661</v>
      </c>
      <c r="G783" s="2">
        <v>1967.47</v>
      </c>
      <c r="H783" s="2" t="str">
        <f>IF(quick_commerce_orders[[#This Row],[order_value]]&lt;500,"Low",IF(quick_commerce_orders[[#This Row],[order_value]]&gt;1500,"High","Moderate"))</f>
        <v>High</v>
      </c>
      <c r="I7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83" s="2" t="s">
        <v>39</v>
      </c>
      <c r="K783" s="2" t="s">
        <v>16</v>
      </c>
    </row>
    <row r="784" spans="1:11" x14ac:dyDescent="0.2">
      <c r="A784" s="2" t="s">
        <v>1581</v>
      </c>
      <c r="B784" s="2" t="s">
        <v>1582</v>
      </c>
      <c r="C784" s="2" t="s">
        <v>53</v>
      </c>
      <c r="D784" s="3">
        <v>46168.817129629628</v>
      </c>
      <c r="E784" s="3">
        <v>46168.847685185188</v>
      </c>
      <c r="F784" s="9">
        <f>IF($K784="cancelled"," ",(quick_commerce_orders[[#This Row],[delivery_time]]-quick_commerce_orders[[#This Row],[order_time]])*1440)</f>
        <v>44.00000000721775</v>
      </c>
      <c r="G784" s="2">
        <v>1224.29</v>
      </c>
      <c r="H784" s="2" t="str">
        <f>IF(quick_commerce_orders[[#This Row],[order_value]]&lt;500,"Low",IF(quick_commerce_orders[[#This Row],[order_value]]&gt;1500,"High","Moderate"))</f>
        <v>Moderate</v>
      </c>
      <c r="I7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4" s="2" t="s">
        <v>39</v>
      </c>
      <c r="K784" s="2" t="s">
        <v>12</v>
      </c>
    </row>
    <row r="785" spans="1:11" x14ac:dyDescent="0.2">
      <c r="A785" s="2" t="s">
        <v>1583</v>
      </c>
      <c r="B785" s="2" t="s">
        <v>1584</v>
      </c>
      <c r="C785" s="2" t="s">
        <v>42</v>
      </c>
      <c r="D785" s="3">
        <v>46144.990763888891</v>
      </c>
      <c r="E785" s="3">
        <v>46145.000486111108</v>
      </c>
      <c r="F785" s="9">
        <f>IF($K785="cancelled"," ",(quick_commerce_orders[[#This Row],[delivery_time]]-quick_commerce_orders[[#This Row],[order_time]])*1440)</f>
        <v>13.999999993247911</v>
      </c>
      <c r="G785" s="2">
        <v>1329.39</v>
      </c>
      <c r="H785" s="2" t="str">
        <f>IF(quick_commerce_orders[[#This Row],[order_value]]&lt;500,"Low",IF(quick_commerce_orders[[#This Row],[order_value]]&gt;1500,"High","Moderate"))</f>
        <v>Moderate</v>
      </c>
      <c r="I7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5" s="2" t="s">
        <v>39</v>
      </c>
      <c r="K785" s="2" t="s">
        <v>16</v>
      </c>
    </row>
    <row r="786" spans="1:11" x14ac:dyDescent="0.2">
      <c r="A786" s="2" t="s">
        <v>1585</v>
      </c>
      <c r="B786" s="2" t="s">
        <v>1586</v>
      </c>
      <c r="C786" s="2" t="s">
        <v>42</v>
      </c>
      <c r="D786" s="3">
        <v>46161.092685185184</v>
      </c>
      <c r="E786" s="3">
        <v>46161.104490740741</v>
      </c>
      <c r="F786" s="9">
        <f>IF($K786="cancelled"," ",(quick_commerce_orders[[#This Row],[delivery_time]]-quick_commerce_orders[[#This Row],[order_time]])*1440)</f>
        <v>17.000000003026798</v>
      </c>
      <c r="G786" s="2">
        <v>1225.1600000000001</v>
      </c>
      <c r="H786" s="2" t="str">
        <f>IF(quick_commerce_orders[[#This Row],[order_value]]&lt;500,"Low",IF(quick_commerce_orders[[#This Row],[order_value]]&gt;1500,"High","Moderate"))</f>
        <v>Moderate</v>
      </c>
      <c r="I7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86" s="2" t="s">
        <v>20</v>
      </c>
      <c r="K786" s="2" t="s">
        <v>16</v>
      </c>
    </row>
    <row r="787" spans="1:11" x14ac:dyDescent="0.2">
      <c r="A787" s="2" t="s">
        <v>1587</v>
      </c>
      <c r="B787" s="2" t="s">
        <v>1588</v>
      </c>
      <c r="C787" s="2" t="s">
        <v>42</v>
      </c>
      <c r="D787" s="3">
        <v>46173.632106481484</v>
      </c>
      <c r="E787" s="3">
        <v>46173.645995370367</v>
      </c>
      <c r="F787" s="9">
        <f>IF($K787="cancelled"," ",(quick_commerce_orders[[#This Row],[delivery_time]]-quick_commerce_orders[[#This Row],[order_time]])*1440)</f>
        <v>19.999999991850927</v>
      </c>
      <c r="G787" s="2">
        <v>1860.15</v>
      </c>
      <c r="H787" s="2" t="str">
        <f>IF(quick_commerce_orders[[#This Row],[order_value]]&lt;500,"Low",IF(quick_commerce_orders[[#This Row],[order_value]]&gt;1500,"High","Moderate"))</f>
        <v>High</v>
      </c>
      <c r="I7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7" s="2" t="s">
        <v>20</v>
      </c>
      <c r="K787" s="2" t="s">
        <v>16</v>
      </c>
    </row>
    <row r="788" spans="1:11" x14ac:dyDescent="0.2">
      <c r="A788" s="2" t="s">
        <v>1589</v>
      </c>
      <c r="B788" s="2" t="s">
        <v>1590</v>
      </c>
      <c r="C788" s="2" t="s">
        <v>31</v>
      </c>
      <c r="D788" s="3">
        <v>46169.798495370371</v>
      </c>
      <c r="E788" s="3">
        <v>46169.805439814816</v>
      </c>
      <c r="F788" s="9">
        <f>IF($K788="cancelled"," ",(quick_commerce_orders[[#This Row],[delivery_time]]-quick_commerce_orders[[#This Row],[order_time]])*1440)</f>
        <v>10.000000001164153</v>
      </c>
      <c r="G788" s="2">
        <v>1109.44</v>
      </c>
      <c r="H788" s="2" t="str">
        <f>IF(quick_commerce_orders[[#This Row],[order_value]]&lt;500,"Low",IF(quick_commerce_orders[[#This Row],[order_value]]&gt;1500,"High","Moderate"))</f>
        <v>Moderate</v>
      </c>
      <c r="I7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8" s="2" t="s">
        <v>39</v>
      </c>
      <c r="K788" s="2" t="s">
        <v>16</v>
      </c>
    </row>
    <row r="789" spans="1:11" x14ac:dyDescent="0.2">
      <c r="A789" s="2" t="s">
        <v>1591</v>
      </c>
      <c r="B789" s="2" t="s">
        <v>1592</v>
      </c>
      <c r="C789" s="2" t="s">
        <v>27</v>
      </c>
      <c r="D789" s="3">
        <v>46154.821203703701</v>
      </c>
      <c r="E789" s="3">
        <v>46154.830925925926</v>
      </c>
      <c r="F789" s="9">
        <f>IF($K789="cancelled"," ",(quick_commerce_orders[[#This Row],[delivery_time]]-quick_commerce_orders[[#This Row],[order_time]])*1440)</f>
        <v>14.00000000372529</v>
      </c>
      <c r="G789" s="2">
        <v>2404.4</v>
      </c>
      <c r="H789" s="2" t="str">
        <f>IF(quick_commerce_orders[[#This Row],[order_value]]&lt;500,"Low",IF(quick_commerce_orders[[#This Row],[order_value]]&gt;1500,"High","Moderate"))</f>
        <v>High</v>
      </c>
      <c r="I7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89" s="2" t="s">
        <v>28</v>
      </c>
      <c r="K789" s="2" t="s">
        <v>16</v>
      </c>
    </row>
    <row r="790" spans="1:11" x14ac:dyDescent="0.2">
      <c r="A790" s="2" t="s">
        <v>1593</v>
      </c>
      <c r="B790" s="2" t="s">
        <v>1594</v>
      </c>
      <c r="C790" s="2" t="s">
        <v>27</v>
      </c>
      <c r="D790" s="3">
        <v>46159.24077546296</v>
      </c>
      <c r="E790" s="3">
        <v>46159.248414351852</v>
      </c>
      <c r="F790" s="9">
        <f>IF($K790="cancelled"," ",(quick_commerce_orders[[#This Row],[delivery_time]]-quick_commerce_orders[[#This Row],[order_time]])*1440)</f>
        <v>11.000000004423782</v>
      </c>
      <c r="G790" s="2">
        <v>2014.74</v>
      </c>
      <c r="H790" s="2" t="str">
        <f>IF(quick_commerce_orders[[#This Row],[order_value]]&lt;500,"Low",IF(quick_commerce_orders[[#This Row],[order_value]]&gt;1500,"High","Moderate"))</f>
        <v>High</v>
      </c>
      <c r="I7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90" s="2" t="s">
        <v>39</v>
      </c>
      <c r="K790" s="2" t="s">
        <v>16</v>
      </c>
    </row>
    <row r="791" spans="1:11" x14ac:dyDescent="0.2">
      <c r="A791" s="2" t="s">
        <v>1595</v>
      </c>
      <c r="B791" s="2" t="s">
        <v>1596</v>
      </c>
      <c r="C791" s="2" t="s">
        <v>53</v>
      </c>
      <c r="D791" s="3">
        <v>46164.610150462962</v>
      </c>
      <c r="E791" s="3">
        <v>46164.617094907408</v>
      </c>
      <c r="F791" s="9">
        <f>IF($K791="cancelled"," ",(quick_commerce_orders[[#This Row],[delivery_time]]-quick_commerce_orders[[#This Row],[order_time]])*1440)</f>
        <v>10.000000001164153</v>
      </c>
      <c r="G791" s="2">
        <v>793.1</v>
      </c>
      <c r="H791" s="2" t="str">
        <f>IF(quick_commerce_orders[[#This Row],[order_value]]&lt;500,"Low",IF(quick_commerce_orders[[#This Row],[order_value]]&gt;1500,"High","Moderate"))</f>
        <v>Moderate</v>
      </c>
      <c r="I7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91" s="2" t="s">
        <v>39</v>
      </c>
      <c r="K791" s="2" t="s">
        <v>16</v>
      </c>
    </row>
    <row r="792" spans="1:11" x14ac:dyDescent="0.2">
      <c r="A792" s="2" t="s">
        <v>1597</v>
      </c>
      <c r="B792" s="2" t="s">
        <v>1598</v>
      </c>
      <c r="C792" s="2" t="s">
        <v>27</v>
      </c>
      <c r="D792" s="3">
        <v>46147.308611111112</v>
      </c>
      <c r="E792" s="3">
        <v>46147.320416666669</v>
      </c>
      <c r="F792" s="9">
        <f>IF($K792="cancelled"," ",(quick_commerce_orders[[#This Row],[delivery_time]]-quick_commerce_orders[[#This Row],[order_time]])*1440)</f>
        <v>17.000000003026798</v>
      </c>
      <c r="G792" s="2">
        <v>183.78</v>
      </c>
      <c r="H792" s="2" t="str">
        <f>IF(quick_commerce_orders[[#This Row],[order_value]]&lt;500,"Low",IF(quick_commerce_orders[[#This Row],[order_value]]&gt;1500,"High","Moderate"))</f>
        <v>Low</v>
      </c>
      <c r="I7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792" s="2" t="s">
        <v>11</v>
      </c>
      <c r="K792" s="2" t="s">
        <v>16</v>
      </c>
    </row>
    <row r="793" spans="1:11" x14ac:dyDescent="0.2">
      <c r="A793" s="2" t="s">
        <v>1599</v>
      </c>
      <c r="B793" s="2" t="s">
        <v>1600</v>
      </c>
      <c r="C793" s="2" t="s">
        <v>75</v>
      </c>
      <c r="D793" s="3">
        <v>46151.125833333332</v>
      </c>
      <c r="E793" s="3">
        <v>46151.139027777775</v>
      </c>
      <c r="F793" s="9">
        <f>IF($K793="cancelled"," ",(quick_commerce_orders[[#This Row],[delivery_time]]-quick_commerce_orders[[#This Row],[order_time]])*1440)</f>
        <v>18.999999999068677</v>
      </c>
      <c r="G793" s="2">
        <v>2313.87</v>
      </c>
      <c r="H793" s="2" t="str">
        <f>IF(quick_commerce_orders[[#This Row],[order_value]]&lt;500,"Low",IF(quick_commerce_orders[[#This Row],[order_value]]&gt;1500,"High","Moderate"))</f>
        <v>High</v>
      </c>
      <c r="I7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93" s="2" t="s">
        <v>15</v>
      </c>
      <c r="K793" s="2" t="s">
        <v>16</v>
      </c>
    </row>
    <row r="794" spans="1:11" x14ac:dyDescent="0.2">
      <c r="A794" s="2" t="s">
        <v>1601</v>
      </c>
      <c r="B794" s="2" t="s">
        <v>1602</v>
      </c>
      <c r="C794" s="2" t="s">
        <v>10</v>
      </c>
      <c r="D794" s="3">
        <v>46169.193124999998</v>
      </c>
      <c r="E794" s="3">
        <v>46169.202847222223</v>
      </c>
      <c r="F794" s="9">
        <f>IF($K794="cancelled"," ",(quick_commerce_orders[[#This Row],[delivery_time]]-quick_commerce_orders[[#This Row],[order_time]])*1440)</f>
        <v>14.00000000372529</v>
      </c>
      <c r="G794" s="2">
        <v>1897.62</v>
      </c>
      <c r="H794" s="2" t="str">
        <f>IF(quick_commerce_orders[[#This Row],[order_value]]&lt;500,"Low",IF(quick_commerce_orders[[#This Row],[order_value]]&gt;1500,"High","Moderate"))</f>
        <v>High</v>
      </c>
      <c r="I7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94" s="2" t="s">
        <v>15</v>
      </c>
      <c r="K794" s="2" t="s">
        <v>16</v>
      </c>
    </row>
    <row r="795" spans="1:11" x14ac:dyDescent="0.2">
      <c r="A795" s="2" t="s">
        <v>1603</v>
      </c>
      <c r="B795" s="2" t="s">
        <v>1604</v>
      </c>
      <c r="C795" s="2" t="s">
        <v>19</v>
      </c>
      <c r="D795" s="3">
        <v>46154.665034722224</v>
      </c>
      <c r="E795" s="3">
        <v>46154.675451388888</v>
      </c>
      <c r="F795" s="9">
        <f>IF($K795="cancelled"," ",(quick_commerce_orders[[#This Row],[delivery_time]]-quick_commerce_orders[[#This Row],[order_time]])*1440)</f>
        <v>14.99999999650754</v>
      </c>
      <c r="G795" s="2">
        <v>1843.73</v>
      </c>
      <c r="H795" s="2" t="str">
        <f>IF(quick_commerce_orders[[#This Row],[order_value]]&lt;500,"Low",IF(quick_commerce_orders[[#This Row],[order_value]]&gt;1500,"High","Moderate"))</f>
        <v>High</v>
      </c>
      <c r="I7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95" s="2" t="s">
        <v>39</v>
      </c>
      <c r="K795" s="2" t="s">
        <v>16</v>
      </c>
    </row>
    <row r="796" spans="1:11" x14ac:dyDescent="0.2">
      <c r="A796" s="2" t="s">
        <v>1605</v>
      </c>
      <c r="B796" s="2" t="s">
        <v>1606</v>
      </c>
      <c r="C796" s="2" t="s">
        <v>27</v>
      </c>
      <c r="D796" s="3">
        <v>46145.731111111112</v>
      </c>
      <c r="E796" s="3">
        <v>46145.740833333337</v>
      </c>
      <c r="F796" s="9">
        <f>IF($K796="cancelled"," ",(quick_commerce_orders[[#This Row],[delivery_time]]-quick_commerce_orders[[#This Row],[order_time]])*1440)</f>
        <v>14.00000000372529</v>
      </c>
      <c r="G796" s="2">
        <v>1451.9</v>
      </c>
      <c r="H796" s="2" t="str">
        <f>IF(quick_commerce_orders[[#This Row],[order_value]]&lt;500,"Low",IF(quick_commerce_orders[[#This Row],[order_value]]&gt;1500,"High","Moderate"))</f>
        <v>Moderate</v>
      </c>
      <c r="I7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96" s="2" t="s">
        <v>20</v>
      </c>
      <c r="K796" s="2" t="s">
        <v>16</v>
      </c>
    </row>
    <row r="797" spans="1:11" x14ac:dyDescent="0.2">
      <c r="A797" s="2" t="s">
        <v>1607</v>
      </c>
      <c r="B797" s="2" t="s">
        <v>1608</v>
      </c>
      <c r="C797" s="2" t="s">
        <v>34</v>
      </c>
      <c r="D797" s="3">
        <v>46150.10465277778</v>
      </c>
      <c r="E797" s="3">
        <v>46150.117152777777</v>
      </c>
      <c r="F797" s="9">
        <f>IF($K797="cancelled"," ",(quick_commerce_orders[[#This Row],[delivery_time]]-quick_commerce_orders[[#This Row],[order_time]])*1440)</f>
        <v>17.999999995809048</v>
      </c>
      <c r="G797" s="2">
        <v>246.4</v>
      </c>
      <c r="H797" s="2" t="str">
        <f>IF(quick_commerce_orders[[#This Row],[order_value]]&lt;500,"Low",IF(quick_commerce_orders[[#This Row],[order_value]]&gt;1500,"High","Moderate"))</f>
        <v>Low</v>
      </c>
      <c r="I7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797" s="2" t="s">
        <v>39</v>
      </c>
      <c r="K797" s="2" t="s">
        <v>16</v>
      </c>
    </row>
    <row r="798" spans="1:11" x14ac:dyDescent="0.2">
      <c r="A798" s="2" t="s">
        <v>1609</v>
      </c>
      <c r="B798" s="2" t="s">
        <v>1610</v>
      </c>
      <c r="C798" s="2" t="s">
        <v>75</v>
      </c>
      <c r="D798" s="3">
        <v>46151.815879629627</v>
      </c>
      <c r="E798" s="3">
        <v>46151.840879629628</v>
      </c>
      <c r="F798" s="9">
        <f>IF($K798="cancelled"," ",(quick_commerce_orders[[#This Row],[delivery_time]]-quick_commerce_orders[[#This Row],[order_time]])*1440)</f>
        <v>36.000000002095476</v>
      </c>
      <c r="G798" s="2">
        <v>1234.5899999999999</v>
      </c>
      <c r="H798" s="2" t="str">
        <f>IF(quick_commerce_orders[[#This Row],[order_value]]&lt;500,"Low",IF(quick_commerce_orders[[#This Row],[order_value]]&gt;1500,"High","Moderate"))</f>
        <v>Moderate</v>
      </c>
      <c r="I7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98" s="2" t="s">
        <v>80</v>
      </c>
      <c r="K798" s="2" t="s">
        <v>12</v>
      </c>
    </row>
    <row r="799" spans="1:11" x14ac:dyDescent="0.2">
      <c r="A799" s="2" t="s">
        <v>1611</v>
      </c>
      <c r="B799" s="2" t="s">
        <v>1612</v>
      </c>
      <c r="C799" s="2" t="s">
        <v>75</v>
      </c>
      <c r="D799" s="3">
        <v>46143.903784722221</v>
      </c>
      <c r="E799" s="3">
        <v>46143.916979166665</v>
      </c>
      <c r="F799" s="9">
        <f>IF($K799="cancelled"," ",(quick_commerce_orders[[#This Row],[delivery_time]]-quick_commerce_orders[[#This Row],[order_time]])*1440)</f>
        <v>18.999999999068677</v>
      </c>
      <c r="G799" s="2">
        <v>504.79</v>
      </c>
      <c r="H799" s="2" t="str">
        <f>IF(quick_commerce_orders[[#This Row],[order_value]]&lt;500,"Low",IF(quick_commerce_orders[[#This Row],[order_value]]&gt;1500,"High","Moderate"))</f>
        <v>Moderate</v>
      </c>
      <c r="I7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799" s="2" t="s">
        <v>39</v>
      </c>
      <c r="K799" s="2" t="s">
        <v>16</v>
      </c>
    </row>
    <row r="800" spans="1:11" x14ac:dyDescent="0.2">
      <c r="A800" s="2" t="s">
        <v>1613</v>
      </c>
      <c r="B800" s="2" t="s">
        <v>1614</v>
      </c>
      <c r="C800" s="2" t="s">
        <v>34</v>
      </c>
      <c r="D800" s="3">
        <v>46169.496550925927</v>
      </c>
      <c r="E800" s="3">
        <v>46169.508356481485</v>
      </c>
      <c r="F800" s="9">
        <f>IF($K800="cancelled"," ",(quick_commerce_orders[[#This Row],[delivery_time]]-quick_commerce_orders[[#This Row],[order_time]])*1440)</f>
        <v>17.000000003026798</v>
      </c>
      <c r="G800" s="2">
        <v>222.89</v>
      </c>
      <c r="H800" s="2" t="str">
        <f>IF(quick_commerce_orders[[#This Row],[order_value]]&lt;500,"Low",IF(quick_commerce_orders[[#This Row],[order_value]]&gt;1500,"High","Moderate"))</f>
        <v>Low</v>
      </c>
      <c r="I8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00" s="2" t="s">
        <v>39</v>
      </c>
      <c r="K800" s="2" t="s">
        <v>16</v>
      </c>
    </row>
    <row r="801" spans="1:11" x14ac:dyDescent="0.2">
      <c r="A801" s="2" t="s">
        <v>1615</v>
      </c>
      <c r="B801" s="2" t="s">
        <v>1616</v>
      </c>
      <c r="C801" s="2" t="s">
        <v>10</v>
      </c>
      <c r="D801" s="3">
        <v>46170.327430555553</v>
      </c>
      <c r="E801" s="3">
        <v>46170.333680555559</v>
      </c>
      <c r="F801" s="9">
        <f>IF($K801="cancelled"," ",(quick_commerce_orders[[#This Row],[delivery_time]]-quick_commerce_orders[[#This Row],[order_time]])*1440)</f>
        <v>9.0000000083819032</v>
      </c>
      <c r="G801" s="2">
        <v>2475.88</v>
      </c>
      <c r="H801" s="2" t="str">
        <f>IF(quick_commerce_orders[[#This Row],[order_value]]&lt;500,"Low",IF(quick_commerce_orders[[#This Row],[order_value]]&gt;1500,"High","Moderate"))</f>
        <v>High</v>
      </c>
      <c r="I8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01" s="2" t="s">
        <v>80</v>
      </c>
      <c r="K801" s="2" t="s">
        <v>16</v>
      </c>
    </row>
    <row r="802" spans="1:11" x14ac:dyDescent="0.2">
      <c r="A802" s="2" t="s">
        <v>1617</v>
      </c>
      <c r="B802" s="2" t="s">
        <v>1618</v>
      </c>
      <c r="C802" s="2" t="s">
        <v>19</v>
      </c>
      <c r="D802" s="3">
        <v>46167.484618055554</v>
      </c>
      <c r="E802" s="3">
        <v>46167.51934027778</v>
      </c>
      <c r="F802" s="9">
        <f>IF($K802="cancelled"," ",(quick_commerce_orders[[#This Row],[delivery_time]]-quick_commerce_orders[[#This Row],[order_time]])*1440)</f>
        <v>50.000000005820766</v>
      </c>
      <c r="G802" s="2">
        <v>2040.35</v>
      </c>
      <c r="H802" s="2" t="str">
        <f>IF(quick_commerce_orders[[#This Row],[order_value]]&lt;500,"Low",IF(quick_commerce_orders[[#This Row],[order_value]]&gt;1500,"High","Moderate"))</f>
        <v>High</v>
      </c>
      <c r="I8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02" s="2" t="s">
        <v>11</v>
      </c>
      <c r="K802" s="2" t="s">
        <v>12</v>
      </c>
    </row>
    <row r="803" spans="1:11" x14ac:dyDescent="0.2">
      <c r="A803" s="2" t="s">
        <v>1619</v>
      </c>
      <c r="B803" s="2" t="s">
        <v>1620</v>
      </c>
      <c r="C803" s="2" t="s">
        <v>75</v>
      </c>
      <c r="D803" s="3">
        <v>46149.547407407408</v>
      </c>
      <c r="E803" s="3">
        <v>46149.560601851852</v>
      </c>
      <c r="F803" s="9">
        <f>IF($K803="cancelled"," ",(quick_commerce_orders[[#This Row],[delivery_time]]-quick_commerce_orders[[#This Row],[order_time]])*1440)</f>
        <v>18.999999999068677</v>
      </c>
      <c r="G803" s="2">
        <v>1597.36</v>
      </c>
      <c r="H803" s="2" t="str">
        <f>IF(quick_commerce_orders[[#This Row],[order_value]]&lt;500,"Low",IF(quick_commerce_orders[[#This Row],[order_value]]&gt;1500,"High","Moderate"))</f>
        <v>High</v>
      </c>
      <c r="I8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03" s="2" t="s">
        <v>39</v>
      </c>
      <c r="K803" s="2" t="s">
        <v>16</v>
      </c>
    </row>
    <row r="804" spans="1:11" x14ac:dyDescent="0.2">
      <c r="A804" s="2" t="s">
        <v>1621</v>
      </c>
      <c r="B804" s="2" t="s">
        <v>1622</v>
      </c>
      <c r="C804" s="2" t="s">
        <v>34</v>
      </c>
      <c r="D804" s="3">
        <v>46173.332569444443</v>
      </c>
      <c r="E804" s="3">
        <v>46173.338125000002</v>
      </c>
      <c r="F804" s="9">
        <f>IF($K804="cancelled"," ",(quick_commerce_orders[[#This Row],[delivery_time]]-quick_commerce_orders[[#This Row],[order_time]])*1440)</f>
        <v>8.0000000051222742</v>
      </c>
      <c r="G804" s="2">
        <v>787.36</v>
      </c>
      <c r="H804" s="2" t="str">
        <f>IF(quick_commerce_orders[[#This Row],[order_value]]&lt;500,"Low",IF(quick_commerce_orders[[#This Row],[order_value]]&gt;1500,"High","Moderate"))</f>
        <v>Moderate</v>
      </c>
      <c r="I8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04" s="2" t="s">
        <v>39</v>
      </c>
      <c r="K804" s="2" t="s">
        <v>16</v>
      </c>
    </row>
    <row r="805" spans="1:11" x14ac:dyDescent="0.2">
      <c r="A805" s="2" t="s">
        <v>1623</v>
      </c>
      <c r="B805" s="2" t="s">
        <v>1624</v>
      </c>
      <c r="C805" s="2" t="s">
        <v>53</v>
      </c>
      <c r="D805" s="3">
        <v>46148.402037037034</v>
      </c>
      <c r="E805" s="3">
        <v>46148.429814814815</v>
      </c>
      <c r="F805" s="9">
        <f>IF($K805="cancelled"," ",(quick_commerce_orders[[#This Row],[delivery_time]]-quick_commerce_orders[[#This Row],[order_time]])*1440)</f>
        <v>40.000000004656613</v>
      </c>
      <c r="G805" s="2">
        <v>297.02</v>
      </c>
      <c r="H805" s="2" t="str">
        <f>IF(quick_commerce_orders[[#This Row],[order_value]]&lt;500,"Low",IF(quick_commerce_orders[[#This Row],[order_value]]&gt;1500,"High","Moderate"))</f>
        <v>Low</v>
      </c>
      <c r="I8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05" s="2" t="s">
        <v>39</v>
      </c>
      <c r="K805" s="2" t="s">
        <v>12</v>
      </c>
    </row>
    <row r="806" spans="1:11" x14ac:dyDescent="0.2">
      <c r="A806" s="2" t="s">
        <v>1625</v>
      </c>
      <c r="B806" s="2" t="s">
        <v>1626</v>
      </c>
      <c r="C806" s="2" t="s">
        <v>27</v>
      </c>
      <c r="D806" s="3">
        <v>46169.341666666667</v>
      </c>
      <c r="E806" s="3">
        <v>46169.348611111112</v>
      </c>
      <c r="F806" s="9">
        <f>IF($K806="cancelled"," ",(quick_commerce_orders[[#This Row],[delivery_time]]-quick_commerce_orders[[#This Row],[order_time]])*1440)</f>
        <v>10.000000001164153</v>
      </c>
      <c r="G806" s="2">
        <v>1312.43</v>
      </c>
      <c r="H806" s="2" t="str">
        <f>IF(quick_commerce_orders[[#This Row],[order_value]]&lt;500,"Low",IF(quick_commerce_orders[[#This Row],[order_value]]&gt;1500,"High","Moderate"))</f>
        <v>Moderate</v>
      </c>
      <c r="I8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06" s="2" t="s">
        <v>15</v>
      </c>
      <c r="K806" s="2" t="s">
        <v>16</v>
      </c>
    </row>
    <row r="807" spans="1:11" x14ac:dyDescent="0.2">
      <c r="A807" s="2" t="s">
        <v>1627</v>
      </c>
      <c r="B807" s="2" t="s">
        <v>1628</v>
      </c>
      <c r="C807" s="2" t="s">
        <v>42</v>
      </c>
      <c r="D807" s="3">
        <v>46143.772997685184</v>
      </c>
      <c r="E807" s="3">
        <v>46143.781331018516</v>
      </c>
      <c r="F807" s="9">
        <f>IF($K807="cancelled"," ",(quick_commerce_orders[[#This Row],[delivery_time]]-quick_commerce_orders[[#This Row],[order_time]])*1440)</f>
        <v>11.999999997206032</v>
      </c>
      <c r="G807" s="2">
        <v>2142.4699999999998</v>
      </c>
      <c r="H807" s="2" t="str">
        <f>IF(quick_commerce_orders[[#This Row],[order_value]]&lt;500,"Low",IF(quick_commerce_orders[[#This Row],[order_value]]&gt;1500,"High","Moderate"))</f>
        <v>High</v>
      </c>
      <c r="I8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07" s="2" t="s">
        <v>28</v>
      </c>
      <c r="K807" s="2" t="s">
        <v>16</v>
      </c>
    </row>
    <row r="808" spans="1:11" x14ac:dyDescent="0.2">
      <c r="A808" s="2" t="s">
        <v>1629</v>
      </c>
      <c r="B808" s="2" t="s">
        <v>1630</v>
      </c>
      <c r="C808" s="2" t="s">
        <v>34</v>
      </c>
      <c r="D808" s="3">
        <v>46143.528622685182</v>
      </c>
      <c r="E808" s="3">
        <v>46143.541122685187</v>
      </c>
      <c r="F808" s="9">
        <f>IF($K808="cancelled"," ",(quick_commerce_orders[[#This Row],[delivery_time]]-quick_commerce_orders[[#This Row],[order_time]])*1440)</f>
        <v>18.000000006286427</v>
      </c>
      <c r="G808" s="2">
        <v>765.84</v>
      </c>
      <c r="H808" s="2" t="str">
        <f>IF(quick_commerce_orders[[#This Row],[order_value]]&lt;500,"Low",IF(quick_commerce_orders[[#This Row],[order_value]]&gt;1500,"High","Moderate"))</f>
        <v>Moderate</v>
      </c>
      <c r="I8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08" s="2" t="s">
        <v>15</v>
      </c>
      <c r="K808" s="2" t="s">
        <v>16</v>
      </c>
    </row>
    <row r="809" spans="1:11" x14ac:dyDescent="0.2">
      <c r="A809" s="2" t="s">
        <v>1631</v>
      </c>
      <c r="B809" s="2" t="s">
        <v>1632</v>
      </c>
      <c r="C809" s="2" t="s">
        <v>19</v>
      </c>
      <c r="D809" s="3">
        <v>46163.557708333334</v>
      </c>
      <c r="E809" s="3">
        <v>46163.568819444445</v>
      </c>
      <c r="F809" s="9">
        <f>IF($K809="cancelled"," ",(quick_commerce_orders[[#This Row],[delivery_time]]-quick_commerce_orders[[#This Row],[order_time]])*1440)</f>
        <v>15.999999999767169</v>
      </c>
      <c r="G809" s="2">
        <v>417.09</v>
      </c>
      <c r="H809" s="2" t="str">
        <f>IF(quick_commerce_orders[[#This Row],[order_value]]&lt;500,"Low",IF(quick_commerce_orders[[#This Row],[order_value]]&gt;1500,"High","Moderate"))</f>
        <v>Low</v>
      </c>
      <c r="I8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09" s="2" t="s">
        <v>28</v>
      </c>
      <c r="K809" s="2" t="s">
        <v>16</v>
      </c>
    </row>
    <row r="810" spans="1:11" x14ac:dyDescent="0.2">
      <c r="A810" s="2" t="s">
        <v>1633</v>
      </c>
      <c r="B810" s="2" t="s">
        <v>1634</v>
      </c>
      <c r="C810" s="2" t="s">
        <v>34</v>
      </c>
      <c r="D810" s="3">
        <v>46152.570567129631</v>
      </c>
      <c r="E810" s="3">
        <v>46152.578900462962</v>
      </c>
      <c r="F810" s="9">
        <f>IF($K810="cancelled"," ",(quick_commerce_orders[[#This Row],[delivery_time]]-quick_commerce_orders[[#This Row],[order_time]])*1440)</f>
        <v>11.999999997206032</v>
      </c>
      <c r="G810" s="2">
        <v>773.33</v>
      </c>
      <c r="H810" s="2" t="str">
        <f>IF(quick_commerce_orders[[#This Row],[order_value]]&lt;500,"Low",IF(quick_commerce_orders[[#This Row],[order_value]]&gt;1500,"High","Moderate"))</f>
        <v>Moderate</v>
      </c>
      <c r="I8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0" s="2" t="s">
        <v>28</v>
      </c>
      <c r="K810" s="2" t="s">
        <v>16</v>
      </c>
    </row>
    <row r="811" spans="1:11" x14ac:dyDescent="0.2">
      <c r="A811" s="2" t="s">
        <v>1635</v>
      </c>
      <c r="B811" s="2" t="s">
        <v>1636</v>
      </c>
      <c r="C811" s="2" t="s">
        <v>34</v>
      </c>
      <c r="D811" s="3">
        <v>46159.37122685185</v>
      </c>
      <c r="E811" s="3">
        <v>46159.383726851855</v>
      </c>
      <c r="F811" s="9">
        <f>IF($K811="cancelled"," ",(quick_commerce_orders[[#This Row],[delivery_time]]-quick_commerce_orders[[#This Row],[order_time]])*1440)</f>
        <v>18.000000006286427</v>
      </c>
      <c r="G811" s="2">
        <v>2157.86</v>
      </c>
      <c r="H811" s="2" t="str">
        <f>IF(quick_commerce_orders[[#This Row],[order_value]]&lt;500,"Low",IF(quick_commerce_orders[[#This Row],[order_value]]&gt;1500,"High","Moderate"))</f>
        <v>High</v>
      </c>
      <c r="I8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11" s="2" t="s">
        <v>11</v>
      </c>
      <c r="K811" s="2" t="s">
        <v>16</v>
      </c>
    </row>
    <row r="812" spans="1:11" x14ac:dyDescent="0.2">
      <c r="A812" s="2" t="s">
        <v>1637</v>
      </c>
      <c r="B812" s="2" t="s">
        <v>1638</v>
      </c>
      <c r="C812" s="2" t="s">
        <v>10</v>
      </c>
      <c r="D812" s="3">
        <v>46170.766423611109</v>
      </c>
      <c r="E812" s="3">
        <v>46170.772673611114</v>
      </c>
      <c r="F812" s="9">
        <f>IF($K812="cancelled"," ",(quick_commerce_orders[[#This Row],[delivery_time]]-quick_commerce_orders[[#This Row],[order_time]])*1440)</f>
        <v>9.0000000083819032</v>
      </c>
      <c r="G812" s="2">
        <v>133.09</v>
      </c>
      <c r="H812" s="2" t="str">
        <f>IF(quick_commerce_orders[[#This Row],[order_value]]&lt;500,"Low",IF(quick_commerce_orders[[#This Row],[order_value]]&gt;1500,"High","Moderate"))</f>
        <v>Low</v>
      </c>
      <c r="I8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2" s="2" t="s">
        <v>80</v>
      </c>
      <c r="K812" s="2" t="s">
        <v>16</v>
      </c>
    </row>
    <row r="813" spans="1:11" x14ac:dyDescent="0.2">
      <c r="A813" s="2" t="s">
        <v>1639</v>
      </c>
      <c r="B813" s="2" t="s">
        <v>1640</v>
      </c>
      <c r="C813" s="2" t="s">
        <v>31</v>
      </c>
      <c r="D813" s="3">
        <v>46160.892916666664</v>
      </c>
      <c r="E813" s="3">
        <v>46160.906111111108</v>
      </c>
      <c r="F813" s="9">
        <f>IF($K813="cancelled"," ",(quick_commerce_orders[[#This Row],[delivery_time]]-quick_commerce_orders[[#This Row],[order_time]])*1440)</f>
        <v>18.999999999068677</v>
      </c>
      <c r="G813" s="2">
        <v>366.72</v>
      </c>
      <c r="H813" s="2" t="str">
        <f>IF(quick_commerce_orders[[#This Row],[order_value]]&lt;500,"Low",IF(quick_commerce_orders[[#This Row],[order_value]]&gt;1500,"High","Moderate"))</f>
        <v>Low</v>
      </c>
      <c r="I8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3" s="2" t="s">
        <v>39</v>
      </c>
      <c r="K813" s="2" t="s">
        <v>16</v>
      </c>
    </row>
    <row r="814" spans="1:11" x14ac:dyDescent="0.2">
      <c r="A814" s="2" t="s">
        <v>1641</v>
      </c>
      <c r="B814" s="2" t="s">
        <v>1642</v>
      </c>
      <c r="C814" s="2" t="s">
        <v>42</v>
      </c>
      <c r="D814" s="3">
        <v>46156.566550925927</v>
      </c>
      <c r="E814" s="3">
        <v>46156.579745370371</v>
      </c>
      <c r="F814" s="9">
        <f>IF($K814="cancelled"," ",(quick_commerce_orders[[#This Row],[delivery_time]]-quick_commerce_orders[[#This Row],[order_time]])*1440)</f>
        <v>18.999999999068677</v>
      </c>
      <c r="G814" s="2">
        <v>518.07000000000005</v>
      </c>
      <c r="H814" s="2" t="str">
        <f>IF(quick_commerce_orders[[#This Row],[order_value]]&lt;500,"Low",IF(quick_commerce_orders[[#This Row],[order_value]]&gt;1500,"High","Moderate"))</f>
        <v>Moderate</v>
      </c>
      <c r="I8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4" s="2" t="s">
        <v>39</v>
      </c>
      <c r="K814" s="2" t="s">
        <v>16</v>
      </c>
    </row>
    <row r="815" spans="1:11" x14ac:dyDescent="0.2">
      <c r="A815" s="2" t="s">
        <v>1643</v>
      </c>
      <c r="B815" s="2" t="s">
        <v>1644</v>
      </c>
      <c r="C815" s="2" t="s">
        <v>31</v>
      </c>
      <c r="D815" s="3">
        <v>46173.224710648145</v>
      </c>
      <c r="E815" s="3">
        <v>46173.237905092596</v>
      </c>
      <c r="F815" s="9">
        <f>IF($K815="cancelled"," ",(quick_commerce_orders[[#This Row],[delivery_time]]-quick_commerce_orders[[#This Row],[order_time]])*1440)</f>
        <v>19.000000009546056</v>
      </c>
      <c r="G815" s="2">
        <v>1519.25</v>
      </c>
      <c r="H815" s="2" t="str">
        <f>IF(quick_commerce_orders[[#This Row],[order_value]]&lt;500,"Low",IF(quick_commerce_orders[[#This Row],[order_value]]&gt;1500,"High","Moderate"))</f>
        <v>High</v>
      </c>
      <c r="I8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15" s="2" t="s">
        <v>28</v>
      </c>
      <c r="K815" s="2" t="s">
        <v>16</v>
      </c>
    </row>
    <row r="816" spans="1:11" x14ac:dyDescent="0.2">
      <c r="A816" s="2" t="s">
        <v>1645</v>
      </c>
      <c r="B816" s="2" t="s">
        <v>1646</v>
      </c>
      <c r="C816" s="2" t="s">
        <v>31</v>
      </c>
      <c r="D816" s="3">
        <v>46173.346944444442</v>
      </c>
      <c r="E816" s="3">
        <v>46173.354583333334</v>
      </c>
      <c r="F816" s="9">
        <f>IF($K816="cancelled"," ",(quick_commerce_orders[[#This Row],[delivery_time]]-quick_commerce_orders[[#This Row],[order_time]])*1440)</f>
        <v>11.000000004423782</v>
      </c>
      <c r="G816" s="2">
        <v>461.73</v>
      </c>
      <c r="H816" s="2" t="str">
        <f>IF(quick_commerce_orders[[#This Row],[order_value]]&lt;500,"Low",IF(quick_commerce_orders[[#This Row],[order_value]]&gt;1500,"High","Moderate"))</f>
        <v>Low</v>
      </c>
      <c r="I8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16" s="2" t="s">
        <v>11</v>
      </c>
      <c r="K816" s="2" t="s">
        <v>16</v>
      </c>
    </row>
    <row r="817" spans="1:11" x14ac:dyDescent="0.2">
      <c r="A817" s="2" t="s">
        <v>1647</v>
      </c>
      <c r="B817" s="2" t="s">
        <v>1648</v>
      </c>
      <c r="C817" s="2" t="s">
        <v>31</v>
      </c>
      <c r="D817" s="3">
        <v>46165.934571759259</v>
      </c>
      <c r="E817" s="3"/>
      <c r="F817" s="9" t="str">
        <f>IF($K817="cancelled"," ",(quick_commerce_orders[[#This Row],[delivery_time]]-quick_commerce_orders[[#This Row],[order_time]])*1440)</f>
        <v xml:space="preserve"> </v>
      </c>
      <c r="G817" s="2">
        <v>1170.97</v>
      </c>
      <c r="H817" s="2" t="str">
        <f>IF(quick_commerce_orders[[#This Row],[order_value]]&lt;500,"Low",IF(quick_commerce_orders[[#This Row],[order_value]]&gt;1500,"High","Moderate"))</f>
        <v>Moderate</v>
      </c>
      <c r="I8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7" s="2" t="s">
        <v>80</v>
      </c>
      <c r="K817" s="2" t="s">
        <v>58</v>
      </c>
    </row>
    <row r="818" spans="1:11" x14ac:dyDescent="0.2">
      <c r="A818" s="2" t="s">
        <v>1649</v>
      </c>
      <c r="B818" s="2" t="s">
        <v>1650</v>
      </c>
      <c r="C818" s="2" t="s">
        <v>19</v>
      </c>
      <c r="D818" s="3">
        <v>46151.88040509259</v>
      </c>
      <c r="E818" s="3">
        <v>46151.890821759262</v>
      </c>
      <c r="F818" s="9">
        <f>IF($K818="cancelled"," ",(quick_commerce_orders[[#This Row],[delivery_time]]-quick_commerce_orders[[#This Row],[order_time]])*1440)</f>
        <v>15.000000006984919</v>
      </c>
      <c r="G818" s="2">
        <v>2037.82</v>
      </c>
      <c r="H818" s="2" t="str">
        <f>IF(quick_commerce_orders[[#This Row],[order_value]]&lt;500,"Low",IF(quick_commerce_orders[[#This Row],[order_value]]&gt;1500,"High","Moderate"))</f>
        <v>High</v>
      </c>
      <c r="I8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8" s="2" t="s">
        <v>15</v>
      </c>
      <c r="K818" s="2" t="s">
        <v>16</v>
      </c>
    </row>
    <row r="819" spans="1:11" x14ac:dyDescent="0.2">
      <c r="A819" s="2" t="s">
        <v>1651</v>
      </c>
      <c r="B819" s="2" t="s">
        <v>1652</v>
      </c>
      <c r="C819" s="2" t="s">
        <v>42</v>
      </c>
      <c r="D819" s="3">
        <v>46157.618564814817</v>
      </c>
      <c r="E819" s="3"/>
      <c r="F819" s="9" t="str">
        <f>IF($K819="cancelled"," ",(quick_commerce_orders[[#This Row],[delivery_time]]-quick_commerce_orders[[#This Row],[order_time]])*1440)</f>
        <v xml:space="preserve"> </v>
      </c>
      <c r="G819" s="2">
        <v>726.01</v>
      </c>
      <c r="H819" s="2" t="str">
        <f>IF(quick_commerce_orders[[#This Row],[order_value]]&lt;500,"Low",IF(quick_commerce_orders[[#This Row],[order_value]]&gt;1500,"High","Moderate"))</f>
        <v>Moderate</v>
      </c>
      <c r="I8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19" s="2" t="s">
        <v>80</v>
      </c>
      <c r="K819" s="2" t="s">
        <v>58</v>
      </c>
    </row>
    <row r="820" spans="1:11" x14ac:dyDescent="0.2">
      <c r="A820" s="2" t="s">
        <v>1653</v>
      </c>
      <c r="B820" s="2" t="s">
        <v>1654</v>
      </c>
      <c r="C820" s="2" t="s">
        <v>31</v>
      </c>
      <c r="D820" s="3">
        <v>46153.134398148148</v>
      </c>
      <c r="E820" s="3">
        <v>46153.169814814813</v>
      </c>
      <c r="F820" s="9">
        <f>IF($K820="cancelled"," ",(quick_commerce_orders[[#This Row],[delivery_time]]-quick_commerce_orders[[#This Row],[order_time]])*1440)</f>
        <v>50.999999998603016</v>
      </c>
      <c r="G820" s="2">
        <v>1780.86</v>
      </c>
      <c r="H820" s="2" t="str">
        <f>IF(quick_commerce_orders[[#This Row],[order_value]]&lt;500,"Low",IF(quick_commerce_orders[[#This Row],[order_value]]&gt;1500,"High","Moderate"))</f>
        <v>High</v>
      </c>
      <c r="I8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20" s="2" t="s">
        <v>80</v>
      </c>
      <c r="K820" s="2" t="s">
        <v>12</v>
      </c>
    </row>
    <row r="821" spans="1:11" x14ac:dyDescent="0.2">
      <c r="A821" s="2" t="s">
        <v>1655</v>
      </c>
      <c r="B821" s="2" t="s">
        <v>1656</v>
      </c>
      <c r="C821" s="2" t="s">
        <v>53</v>
      </c>
      <c r="D821" s="3">
        <v>46168.452488425923</v>
      </c>
      <c r="E821" s="3">
        <v>46168.466377314813</v>
      </c>
      <c r="F821" s="9">
        <f>IF($K821="cancelled"," ",(quick_commerce_orders[[#This Row],[delivery_time]]-quick_commerce_orders[[#This Row],[order_time]])*1440)</f>
        <v>20.000000002328306</v>
      </c>
      <c r="G821" s="2">
        <v>1262.8</v>
      </c>
      <c r="H821" s="2" t="str">
        <f>IF(quick_commerce_orders[[#This Row],[order_value]]&lt;500,"Low",IF(quick_commerce_orders[[#This Row],[order_value]]&gt;1500,"High","Moderate"))</f>
        <v>Moderate</v>
      </c>
      <c r="I8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21" s="2" t="s">
        <v>28</v>
      </c>
      <c r="K821" s="2" t="s">
        <v>16</v>
      </c>
    </row>
    <row r="822" spans="1:11" x14ac:dyDescent="0.2">
      <c r="A822" s="2" t="s">
        <v>1657</v>
      </c>
      <c r="B822" s="2" t="s">
        <v>1658</v>
      </c>
      <c r="C822" s="2" t="s">
        <v>31</v>
      </c>
      <c r="D822" s="3">
        <v>46146.225462962961</v>
      </c>
      <c r="E822" s="3">
        <v>46146.236574074072</v>
      </c>
      <c r="F822" s="9">
        <f>IF($K822="cancelled"," ",(quick_commerce_orders[[#This Row],[delivery_time]]-quick_commerce_orders[[#This Row],[order_time]])*1440)</f>
        <v>15.999999999767169</v>
      </c>
      <c r="G822" s="2">
        <v>2017.49</v>
      </c>
      <c r="H822" s="2" t="str">
        <f>IF(quick_commerce_orders[[#This Row],[order_value]]&lt;500,"Low",IF(quick_commerce_orders[[#This Row],[order_value]]&gt;1500,"High","Moderate"))</f>
        <v>High</v>
      </c>
      <c r="I8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22" s="2" t="s">
        <v>15</v>
      </c>
      <c r="K822" s="2" t="s">
        <v>16</v>
      </c>
    </row>
    <row r="823" spans="1:11" x14ac:dyDescent="0.2">
      <c r="A823" s="2" t="s">
        <v>1659</v>
      </c>
      <c r="B823" s="2" t="s">
        <v>1660</v>
      </c>
      <c r="C823" s="2" t="s">
        <v>10</v>
      </c>
      <c r="D823" s="3">
        <v>46143.11954861111</v>
      </c>
      <c r="E823" s="3">
        <v>46143.125798611109</v>
      </c>
      <c r="F823" s="9">
        <f>IF($K823="cancelled"," ",(quick_commerce_orders[[#This Row],[delivery_time]]-quick_commerce_orders[[#This Row],[order_time]])*1440)</f>
        <v>8.9999999979045242</v>
      </c>
      <c r="G823" s="2">
        <v>2167.83</v>
      </c>
      <c r="H823" s="2" t="str">
        <f>IF(quick_commerce_orders[[#This Row],[order_value]]&lt;500,"Low",IF(quick_commerce_orders[[#This Row],[order_value]]&gt;1500,"High","Moderate"))</f>
        <v>High</v>
      </c>
      <c r="I8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23" s="2" t="s">
        <v>11</v>
      </c>
      <c r="K823" s="2" t="s">
        <v>16</v>
      </c>
    </row>
    <row r="824" spans="1:11" x14ac:dyDescent="0.2">
      <c r="A824" s="2" t="s">
        <v>1661</v>
      </c>
      <c r="B824" s="2" t="s">
        <v>1662</v>
      </c>
      <c r="C824" s="2" t="s">
        <v>34</v>
      </c>
      <c r="D824" s="3">
        <v>46173.810474537036</v>
      </c>
      <c r="E824" s="3">
        <v>46173.819502314815</v>
      </c>
      <c r="F824" s="9">
        <f>IF($K824="cancelled"," ",(quick_commerce_orders[[#This Row],[delivery_time]]-quick_commerce_orders[[#This Row],[order_time]])*1440)</f>
        <v>13.000000000465661</v>
      </c>
      <c r="G824" s="2">
        <v>921.84</v>
      </c>
      <c r="H824" s="2" t="str">
        <f>IF(quick_commerce_orders[[#This Row],[order_value]]&lt;500,"Low",IF(quick_commerce_orders[[#This Row],[order_value]]&gt;1500,"High","Moderate"))</f>
        <v>Moderate</v>
      </c>
      <c r="I8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24" s="2" t="s">
        <v>15</v>
      </c>
      <c r="K824" s="2" t="s">
        <v>16</v>
      </c>
    </row>
    <row r="825" spans="1:11" x14ac:dyDescent="0.2">
      <c r="A825" s="2" t="s">
        <v>1663</v>
      </c>
      <c r="B825" s="2" t="s">
        <v>1664</v>
      </c>
      <c r="C825" s="2" t="s">
        <v>53</v>
      </c>
      <c r="D825" s="3">
        <v>46147.343321759261</v>
      </c>
      <c r="E825" s="3">
        <v>46147.34957175926</v>
      </c>
      <c r="F825" s="9">
        <f>IF($K825="cancelled"," ",(quick_commerce_orders[[#This Row],[delivery_time]]-quick_commerce_orders[[#This Row],[order_time]])*1440)</f>
        <v>8.9999999979045242</v>
      </c>
      <c r="G825" s="2">
        <v>301.56</v>
      </c>
      <c r="H825" s="2" t="str">
        <f>IF(quick_commerce_orders[[#This Row],[order_value]]&lt;500,"Low",IF(quick_commerce_orders[[#This Row],[order_value]]&gt;1500,"High","Moderate"))</f>
        <v>Low</v>
      </c>
      <c r="I8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25" s="2" t="s">
        <v>28</v>
      </c>
      <c r="K825" s="2" t="s">
        <v>16</v>
      </c>
    </row>
    <row r="826" spans="1:11" x14ac:dyDescent="0.2">
      <c r="A826" s="2" t="s">
        <v>1665</v>
      </c>
      <c r="B826" s="2" t="s">
        <v>1666</v>
      </c>
      <c r="C826" s="2" t="s">
        <v>75</v>
      </c>
      <c r="D826" s="3">
        <v>46148.793587962966</v>
      </c>
      <c r="E826" s="3">
        <v>46148.815115740741</v>
      </c>
      <c r="F826" s="9">
        <f>IF($K826="cancelled"," ",(quick_commerce_orders[[#This Row],[delivery_time]]-quick_commerce_orders[[#This Row],[order_time]])*1440)</f>
        <v>30.99999999627471</v>
      </c>
      <c r="G826" s="2">
        <v>447.17</v>
      </c>
      <c r="H826" s="2" t="str">
        <f>IF(quick_commerce_orders[[#This Row],[order_value]]&lt;500,"Low",IF(quick_commerce_orders[[#This Row],[order_value]]&gt;1500,"High","Moderate"))</f>
        <v>Low</v>
      </c>
      <c r="I8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26" s="2" t="s">
        <v>15</v>
      </c>
      <c r="K826" s="2" t="s">
        <v>12</v>
      </c>
    </row>
    <row r="827" spans="1:11" x14ac:dyDescent="0.2">
      <c r="A827" s="2" t="s">
        <v>1667</v>
      </c>
      <c r="B827" s="2" t="s">
        <v>1668</v>
      </c>
      <c r="C827" s="2" t="s">
        <v>34</v>
      </c>
      <c r="D827" s="3">
        <v>46167.527557870373</v>
      </c>
      <c r="E827" s="3">
        <v>46167.538668981484</v>
      </c>
      <c r="F827" s="9">
        <f>IF($K827="cancelled"," ",(quick_commerce_orders[[#This Row],[delivery_time]]-quick_commerce_orders[[#This Row],[order_time]])*1440)</f>
        <v>15.999999999767169</v>
      </c>
      <c r="G827" s="2">
        <v>2340.46</v>
      </c>
      <c r="H827" s="2" t="str">
        <f>IF(quick_commerce_orders[[#This Row],[order_value]]&lt;500,"Low",IF(quick_commerce_orders[[#This Row],[order_value]]&gt;1500,"High","Moderate"))</f>
        <v>High</v>
      </c>
      <c r="I8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27" s="2" t="s">
        <v>15</v>
      </c>
      <c r="K827" s="2" t="s">
        <v>16</v>
      </c>
    </row>
    <row r="828" spans="1:11" x14ac:dyDescent="0.2">
      <c r="A828" s="2" t="s">
        <v>1669</v>
      </c>
      <c r="B828" s="2" t="s">
        <v>1670</v>
      </c>
      <c r="C828" s="2" t="s">
        <v>10</v>
      </c>
      <c r="D828" s="3">
        <v>46161.943090277775</v>
      </c>
      <c r="E828" s="3">
        <v>46161.956979166665</v>
      </c>
      <c r="F828" s="9">
        <f>IF($K828="cancelled"," ",(quick_commerce_orders[[#This Row],[delivery_time]]-quick_commerce_orders[[#This Row],[order_time]])*1440)</f>
        <v>20.000000002328306</v>
      </c>
      <c r="G828" s="2">
        <v>468.96</v>
      </c>
      <c r="H828" s="2" t="str">
        <f>IF(quick_commerce_orders[[#This Row],[order_value]]&lt;500,"Low",IF(quick_commerce_orders[[#This Row],[order_value]]&gt;1500,"High","Moderate"))</f>
        <v>Low</v>
      </c>
      <c r="I8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28" s="2" t="s">
        <v>39</v>
      </c>
      <c r="K828" s="2" t="s">
        <v>16</v>
      </c>
    </row>
    <row r="829" spans="1:11" x14ac:dyDescent="0.2">
      <c r="A829" s="2" t="s">
        <v>1671</v>
      </c>
      <c r="B829" s="2" t="s">
        <v>1672</v>
      </c>
      <c r="C829" s="2" t="s">
        <v>42</v>
      </c>
      <c r="D829" s="3">
        <v>46154.855185185188</v>
      </c>
      <c r="E829" s="3">
        <v>46154.869074074071</v>
      </c>
      <c r="F829" s="9">
        <f>IF($K829="cancelled"," ",(quick_commerce_orders[[#This Row],[delivery_time]]-quick_commerce_orders[[#This Row],[order_time]])*1440)</f>
        <v>19.999999991850927</v>
      </c>
      <c r="G829" s="2">
        <v>1289.28</v>
      </c>
      <c r="H829" s="2" t="str">
        <f>IF(quick_commerce_orders[[#This Row],[order_value]]&lt;500,"Low",IF(quick_commerce_orders[[#This Row],[order_value]]&gt;1500,"High","Moderate"))</f>
        <v>Moderate</v>
      </c>
      <c r="I8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29" s="2" t="s">
        <v>39</v>
      </c>
      <c r="K829" s="2" t="s">
        <v>16</v>
      </c>
    </row>
    <row r="830" spans="1:11" x14ac:dyDescent="0.2">
      <c r="A830" s="2" t="s">
        <v>1673</v>
      </c>
      <c r="B830" s="2" t="s">
        <v>1674</v>
      </c>
      <c r="C830" s="2" t="s">
        <v>53</v>
      </c>
      <c r="D830" s="3">
        <v>46143.287986111114</v>
      </c>
      <c r="E830" s="3">
        <v>46143.297013888892</v>
      </c>
      <c r="F830" s="9">
        <f>IF($K830="cancelled"," ",(quick_commerce_orders[[#This Row],[delivery_time]]-quick_commerce_orders[[#This Row],[order_time]])*1440)</f>
        <v>13.000000000465661</v>
      </c>
      <c r="G830" s="2">
        <v>2483.61</v>
      </c>
      <c r="H830" s="2" t="str">
        <f>IF(quick_commerce_orders[[#This Row],[order_value]]&lt;500,"Low",IF(quick_commerce_orders[[#This Row],[order_value]]&gt;1500,"High","Moderate"))</f>
        <v>High</v>
      </c>
      <c r="I8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30" s="2" t="s">
        <v>15</v>
      </c>
      <c r="K830" s="2" t="s">
        <v>16</v>
      </c>
    </row>
    <row r="831" spans="1:11" x14ac:dyDescent="0.2">
      <c r="A831" s="2" t="s">
        <v>1675</v>
      </c>
      <c r="B831" s="2" t="s">
        <v>1676</v>
      </c>
      <c r="C831" s="2" t="s">
        <v>27</v>
      </c>
      <c r="D831" s="3">
        <v>46161.251967592594</v>
      </c>
      <c r="E831" s="3"/>
      <c r="F831" s="9" t="str">
        <f>IF($K831="cancelled"," ",(quick_commerce_orders[[#This Row],[delivery_time]]-quick_commerce_orders[[#This Row],[order_time]])*1440)</f>
        <v xml:space="preserve"> </v>
      </c>
      <c r="G831" s="2">
        <v>1947.88</v>
      </c>
      <c r="H831" s="2" t="str">
        <f>IF(quick_commerce_orders[[#This Row],[order_value]]&lt;500,"Low",IF(quick_commerce_orders[[#This Row],[order_value]]&gt;1500,"High","Moderate"))</f>
        <v>High</v>
      </c>
      <c r="I8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1" s="2" t="s">
        <v>39</v>
      </c>
      <c r="K831" s="2" t="s">
        <v>58</v>
      </c>
    </row>
    <row r="832" spans="1:11" x14ac:dyDescent="0.2">
      <c r="A832" s="2" t="s">
        <v>1677</v>
      </c>
      <c r="B832" s="2" t="s">
        <v>1678</v>
      </c>
      <c r="C832" s="2" t="s">
        <v>75</v>
      </c>
      <c r="D832" s="3">
        <v>46157.799108796295</v>
      </c>
      <c r="E832" s="3">
        <v>46157.808831018519</v>
      </c>
      <c r="F832" s="9">
        <f>IF($K832="cancelled"," ",(quick_commerce_orders[[#This Row],[delivery_time]]-quick_commerce_orders[[#This Row],[order_time]])*1440)</f>
        <v>14.00000000372529</v>
      </c>
      <c r="G832" s="2">
        <v>670.07</v>
      </c>
      <c r="H832" s="2" t="str">
        <f>IF(quick_commerce_orders[[#This Row],[order_value]]&lt;500,"Low",IF(quick_commerce_orders[[#This Row],[order_value]]&gt;1500,"High","Moderate"))</f>
        <v>Moderate</v>
      </c>
      <c r="I8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2" s="2" t="s">
        <v>15</v>
      </c>
      <c r="K832" s="2" t="s">
        <v>16</v>
      </c>
    </row>
    <row r="833" spans="1:11" x14ac:dyDescent="0.2">
      <c r="A833" s="2" t="s">
        <v>1679</v>
      </c>
      <c r="B833" s="2" t="s">
        <v>1680</v>
      </c>
      <c r="C833" s="2" t="s">
        <v>19</v>
      </c>
      <c r="D833" s="3">
        <v>46145.469224537039</v>
      </c>
      <c r="E833" s="3"/>
      <c r="F833" s="9" t="str">
        <f>IF($K833="cancelled"," ",(quick_commerce_orders[[#This Row],[delivery_time]]-quick_commerce_orders[[#This Row],[order_time]])*1440)</f>
        <v xml:space="preserve"> </v>
      </c>
      <c r="G833" s="2">
        <v>1155.44</v>
      </c>
      <c r="H833" s="2" t="str">
        <f>IF(quick_commerce_orders[[#This Row],[order_value]]&lt;500,"Low",IF(quick_commerce_orders[[#This Row],[order_value]]&gt;1500,"High","Moderate"))</f>
        <v>Moderate</v>
      </c>
      <c r="I8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3" s="2" t="s">
        <v>28</v>
      </c>
      <c r="K833" s="2" t="s">
        <v>58</v>
      </c>
    </row>
    <row r="834" spans="1:11" x14ac:dyDescent="0.2">
      <c r="A834" s="2" t="s">
        <v>1681</v>
      </c>
      <c r="B834" s="2" t="s">
        <v>1682</v>
      </c>
      <c r="C834" s="2" t="s">
        <v>19</v>
      </c>
      <c r="D834" s="3">
        <v>46143.212002314816</v>
      </c>
      <c r="E834" s="3">
        <v>46143.222418981481</v>
      </c>
      <c r="F834" s="9">
        <f>IF($K834="cancelled"," ",(quick_commerce_orders[[#This Row],[delivery_time]]-quick_commerce_orders[[#This Row],[order_time]])*1440)</f>
        <v>14.99999999650754</v>
      </c>
      <c r="G834" s="2">
        <v>1629.18</v>
      </c>
      <c r="H834" s="2" t="str">
        <f>IF(quick_commerce_orders[[#This Row],[order_value]]&lt;500,"Low",IF(quick_commerce_orders[[#This Row],[order_value]]&gt;1500,"High","Moderate"))</f>
        <v>High</v>
      </c>
      <c r="I8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34" s="2" t="s">
        <v>11</v>
      </c>
      <c r="K834" s="2" t="s">
        <v>16</v>
      </c>
    </row>
    <row r="835" spans="1:11" x14ac:dyDescent="0.2">
      <c r="A835" s="2" t="s">
        <v>1683</v>
      </c>
      <c r="B835" s="2" t="s">
        <v>1684</v>
      </c>
      <c r="C835" s="2" t="s">
        <v>10</v>
      </c>
      <c r="D835" s="3">
        <v>46168.48778935185</v>
      </c>
      <c r="E835" s="3">
        <v>46168.494733796295</v>
      </c>
      <c r="F835" s="9">
        <f>IF($K835="cancelled"," ",(quick_commerce_orders[[#This Row],[delivery_time]]-quick_commerce_orders[[#This Row],[order_time]])*1440)</f>
        <v>10.000000001164153</v>
      </c>
      <c r="G835" s="2">
        <v>605.05999999999995</v>
      </c>
      <c r="H835" s="2" t="str">
        <f>IF(quick_commerce_orders[[#This Row],[order_value]]&lt;500,"Low",IF(quick_commerce_orders[[#This Row],[order_value]]&gt;1500,"High","Moderate"))</f>
        <v>Moderate</v>
      </c>
      <c r="I8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35" s="2" t="s">
        <v>28</v>
      </c>
      <c r="K835" s="2" t="s">
        <v>16</v>
      </c>
    </row>
    <row r="836" spans="1:11" x14ac:dyDescent="0.2">
      <c r="A836" s="2" t="s">
        <v>1685</v>
      </c>
      <c r="B836" s="2" t="s">
        <v>1686</v>
      </c>
      <c r="C836" s="2" t="s">
        <v>42</v>
      </c>
      <c r="D836" s="3">
        <v>46168.758715277778</v>
      </c>
      <c r="E836" s="3">
        <v>46168.767048611109</v>
      </c>
      <c r="F836" s="9">
        <f>IF($K836="cancelled"," ",(quick_commerce_orders[[#This Row],[delivery_time]]-quick_commerce_orders[[#This Row],[order_time]])*1440)</f>
        <v>11.999999997206032</v>
      </c>
      <c r="G836" s="2">
        <v>1861.47</v>
      </c>
      <c r="H836" s="2" t="str">
        <f>IF(quick_commerce_orders[[#This Row],[order_value]]&lt;500,"Low",IF(quick_commerce_orders[[#This Row],[order_value]]&gt;1500,"High","Moderate"))</f>
        <v>High</v>
      </c>
      <c r="I8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6" s="2" t="s">
        <v>80</v>
      </c>
      <c r="K836" s="2" t="s">
        <v>16</v>
      </c>
    </row>
    <row r="837" spans="1:11" x14ac:dyDescent="0.2">
      <c r="A837" s="2" t="s">
        <v>1687</v>
      </c>
      <c r="B837" s="2" t="s">
        <v>1688</v>
      </c>
      <c r="C837" s="2" t="s">
        <v>31</v>
      </c>
      <c r="D837" s="3">
        <v>46143.989629629628</v>
      </c>
      <c r="E837" s="3">
        <v>46143.99726851852</v>
      </c>
      <c r="F837" s="9">
        <f>IF($K837="cancelled"," ",(quick_commerce_orders[[#This Row],[delivery_time]]-quick_commerce_orders[[#This Row],[order_time]])*1440)</f>
        <v>11.000000004423782</v>
      </c>
      <c r="G837" s="2">
        <v>927.18</v>
      </c>
      <c r="H837" s="2" t="str">
        <f>IF(quick_commerce_orders[[#This Row],[order_value]]&lt;500,"Low",IF(quick_commerce_orders[[#This Row],[order_value]]&gt;1500,"High","Moderate"))</f>
        <v>Moderate</v>
      </c>
      <c r="I8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7" s="2" t="s">
        <v>28</v>
      </c>
      <c r="K837" s="2" t="s">
        <v>16</v>
      </c>
    </row>
    <row r="838" spans="1:11" x14ac:dyDescent="0.2">
      <c r="A838" s="2" t="s">
        <v>1689</v>
      </c>
      <c r="B838" s="2" t="s">
        <v>1690</v>
      </c>
      <c r="C838" s="2" t="s">
        <v>31</v>
      </c>
      <c r="D838" s="3">
        <v>46148.721365740741</v>
      </c>
      <c r="E838" s="3">
        <v>46148.732476851852</v>
      </c>
      <c r="F838" s="9">
        <f>IF($K838="cancelled"," ",(quick_commerce_orders[[#This Row],[delivery_time]]-quick_commerce_orders[[#This Row],[order_time]])*1440)</f>
        <v>15.999999999767169</v>
      </c>
      <c r="G838" s="2">
        <v>1640.43</v>
      </c>
      <c r="H838" s="2" t="str">
        <f>IF(quick_commerce_orders[[#This Row],[order_value]]&lt;500,"Low",IF(quick_commerce_orders[[#This Row],[order_value]]&gt;1500,"High","Moderate"))</f>
        <v>High</v>
      </c>
      <c r="I8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8" s="2" t="s">
        <v>15</v>
      </c>
      <c r="K838" s="2" t="s">
        <v>16</v>
      </c>
    </row>
    <row r="839" spans="1:11" x14ac:dyDescent="0.2">
      <c r="A839" s="2" t="s">
        <v>1691</v>
      </c>
      <c r="B839" s="2" t="s">
        <v>1692</v>
      </c>
      <c r="C839" s="2" t="s">
        <v>10</v>
      </c>
      <c r="D839" s="3">
        <v>46165.494641203702</v>
      </c>
      <c r="E839" s="3">
        <v>46165.500196759262</v>
      </c>
      <c r="F839" s="9">
        <f>IF($K839="cancelled"," ",(quick_commerce_orders[[#This Row],[delivery_time]]-quick_commerce_orders[[#This Row],[order_time]])*1440)</f>
        <v>8.0000000051222742</v>
      </c>
      <c r="G839" s="2">
        <v>1912.16</v>
      </c>
      <c r="H839" s="2" t="str">
        <f>IF(quick_commerce_orders[[#This Row],[order_value]]&lt;500,"Low",IF(quick_commerce_orders[[#This Row],[order_value]]&gt;1500,"High","Moderate"))</f>
        <v>High</v>
      </c>
      <c r="I8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39" s="2" t="s">
        <v>39</v>
      </c>
      <c r="K839" s="2" t="s">
        <v>16</v>
      </c>
    </row>
    <row r="840" spans="1:11" x14ac:dyDescent="0.2">
      <c r="A840" s="2" t="s">
        <v>1693</v>
      </c>
      <c r="B840" s="2" t="s">
        <v>1694</v>
      </c>
      <c r="C840" s="2" t="s">
        <v>42</v>
      </c>
      <c r="D840" s="3">
        <v>46157.800335648149</v>
      </c>
      <c r="E840" s="3">
        <v>46157.810752314814</v>
      </c>
      <c r="F840" s="9">
        <f>IF($K840="cancelled"," ",(quick_commerce_orders[[#This Row],[delivery_time]]-quick_commerce_orders[[#This Row],[order_time]])*1440)</f>
        <v>14.99999999650754</v>
      </c>
      <c r="G840" s="2">
        <v>377.39</v>
      </c>
      <c r="H840" s="2" t="str">
        <f>IF(quick_commerce_orders[[#This Row],[order_value]]&lt;500,"Low",IF(quick_commerce_orders[[#This Row],[order_value]]&gt;1500,"High","Moderate"))</f>
        <v>Low</v>
      </c>
      <c r="I8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0" s="2" t="s">
        <v>11</v>
      </c>
      <c r="K840" s="2" t="s">
        <v>16</v>
      </c>
    </row>
    <row r="841" spans="1:11" x14ac:dyDescent="0.2">
      <c r="A841" s="2" t="s">
        <v>1695</v>
      </c>
      <c r="B841" s="2" t="s">
        <v>1696</v>
      </c>
      <c r="C841" s="2" t="s">
        <v>34</v>
      </c>
      <c r="D841" s="3">
        <v>46168.750185185185</v>
      </c>
      <c r="E841" s="3"/>
      <c r="F841" s="9" t="str">
        <f>IF($K841="cancelled"," ",(quick_commerce_orders[[#This Row],[delivery_time]]-quick_commerce_orders[[#This Row],[order_time]])*1440)</f>
        <v xml:space="preserve"> </v>
      </c>
      <c r="G841" s="2">
        <v>501.24</v>
      </c>
      <c r="H841" s="2" t="str">
        <f>IF(quick_commerce_orders[[#This Row],[order_value]]&lt;500,"Low",IF(quick_commerce_orders[[#This Row],[order_value]]&gt;1500,"High","Moderate"))</f>
        <v>Moderate</v>
      </c>
      <c r="I8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1" s="2" t="s">
        <v>39</v>
      </c>
      <c r="K841" s="2" t="s">
        <v>58</v>
      </c>
    </row>
    <row r="842" spans="1:11" x14ac:dyDescent="0.2">
      <c r="A842" s="2" t="s">
        <v>1697</v>
      </c>
      <c r="B842" s="2" t="s">
        <v>1698</v>
      </c>
      <c r="C842" s="2" t="s">
        <v>34</v>
      </c>
      <c r="D842" s="3">
        <v>46154.563958333332</v>
      </c>
      <c r="E842" s="3">
        <v>46154.569513888891</v>
      </c>
      <c r="F842" s="9">
        <f>IF($K842="cancelled"," ",(quick_commerce_orders[[#This Row],[delivery_time]]-quick_commerce_orders[[#This Row],[order_time]])*1440)</f>
        <v>8.0000000051222742</v>
      </c>
      <c r="G842" s="2">
        <v>1055.99</v>
      </c>
      <c r="H842" s="2" t="str">
        <f>IF(quick_commerce_orders[[#This Row],[order_value]]&lt;500,"Low",IF(quick_commerce_orders[[#This Row],[order_value]]&gt;1500,"High","Moderate"))</f>
        <v>Moderate</v>
      </c>
      <c r="I8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2" s="2" t="s">
        <v>28</v>
      </c>
      <c r="K842" s="2" t="s">
        <v>16</v>
      </c>
    </row>
    <row r="843" spans="1:11" x14ac:dyDescent="0.2">
      <c r="A843" s="2" t="s">
        <v>1699</v>
      </c>
      <c r="B843" s="2" t="s">
        <v>1700</v>
      </c>
      <c r="C843" s="2" t="s">
        <v>34</v>
      </c>
      <c r="D843" s="3">
        <v>46147.679409722223</v>
      </c>
      <c r="E843" s="3">
        <v>46147.685659722221</v>
      </c>
      <c r="F843" s="9">
        <f>IF($K843="cancelled"," ",(quick_commerce_orders[[#This Row],[delivery_time]]-quick_commerce_orders[[#This Row],[order_time]])*1440)</f>
        <v>8.9999999979045242</v>
      </c>
      <c r="G843" s="2">
        <v>822.28</v>
      </c>
      <c r="H843" s="2" t="str">
        <f>IF(quick_commerce_orders[[#This Row],[order_value]]&lt;500,"Low",IF(quick_commerce_orders[[#This Row],[order_value]]&gt;1500,"High","Moderate"))</f>
        <v>Moderate</v>
      </c>
      <c r="I8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3" s="2" t="s">
        <v>15</v>
      </c>
      <c r="K843" s="2" t="s">
        <v>16</v>
      </c>
    </row>
    <row r="844" spans="1:11" x14ac:dyDescent="0.2">
      <c r="A844" s="2" t="s">
        <v>1701</v>
      </c>
      <c r="B844" s="2" t="s">
        <v>1702</v>
      </c>
      <c r="C844" s="2" t="s">
        <v>75</v>
      </c>
      <c r="D844" s="3">
        <v>46150.678425925929</v>
      </c>
      <c r="E844" s="3">
        <v>46150.690925925926</v>
      </c>
      <c r="F844" s="9">
        <f>IF($K844="cancelled"," ",(quick_commerce_orders[[#This Row],[delivery_time]]-quick_commerce_orders[[#This Row],[order_time]])*1440)</f>
        <v>17.999999995809048</v>
      </c>
      <c r="G844" s="2">
        <v>1889.76</v>
      </c>
      <c r="H844" s="2" t="str">
        <f>IF(quick_commerce_orders[[#This Row],[order_value]]&lt;500,"Low",IF(quick_commerce_orders[[#This Row],[order_value]]&gt;1500,"High","Moderate"))</f>
        <v>High</v>
      </c>
      <c r="I8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4" s="2" t="s">
        <v>11</v>
      </c>
      <c r="K844" s="2" t="s">
        <v>16</v>
      </c>
    </row>
    <row r="845" spans="1:11" x14ac:dyDescent="0.2">
      <c r="A845" s="2" t="s">
        <v>1703</v>
      </c>
      <c r="B845" s="2" t="s">
        <v>1704</v>
      </c>
      <c r="C845" s="2" t="s">
        <v>34</v>
      </c>
      <c r="D845" s="3">
        <v>46159.936388888891</v>
      </c>
      <c r="E845" s="3">
        <v>46159.949583333335</v>
      </c>
      <c r="F845" s="9">
        <f>IF($K845="cancelled"," ",(quick_commerce_orders[[#This Row],[delivery_time]]-quick_commerce_orders[[#This Row],[order_time]])*1440)</f>
        <v>18.999999999068677</v>
      </c>
      <c r="G845" s="2">
        <v>1904.83</v>
      </c>
      <c r="H845" s="2" t="str">
        <f>IF(quick_commerce_orders[[#This Row],[order_value]]&lt;500,"Low",IF(quick_commerce_orders[[#This Row],[order_value]]&gt;1500,"High","Moderate"))</f>
        <v>High</v>
      </c>
      <c r="I8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5" s="2" t="s">
        <v>20</v>
      </c>
      <c r="K845" s="2" t="s">
        <v>16</v>
      </c>
    </row>
    <row r="846" spans="1:11" x14ac:dyDescent="0.2">
      <c r="A846" s="2" t="s">
        <v>1705</v>
      </c>
      <c r="B846" s="2" t="s">
        <v>1706</v>
      </c>
      <c r="C846" s="2" t="s">
        <v>27</v>
      </c>
      <c r="D846" s="3">
        <v>46173.325243055559</v>
      </c>
      <c r="E846" s="3">
        <v>46173.337743055556</v>
      </c>
      <c r="F846" s="9">
        <f>IF($K846="cancelled"," ",(quick_commerce_orders[[#This Row],[delivery_time]]-quick_commerce_orders[[#This Row],[order_time]])*1440)</f>
        <v>17.999999995809048</v>
      </c>
      <c r="G846" s="2">
        <v>1377.05</v>
      </c>
      <c r="H846" s="2" t="str">
        <f>IF(quick_commerce_orders[[#This Row],[order_value]]&lt;500,"Low",IF(quick_commerce_orders[[#This Row],[order_value]]&gt;1500,"High","Moderate"))</f>
        <v>Moderate</v>
      </c>
      <c r="I8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46" s="2" t="s">
        <v>80</v>
      </c>
      <c r="K846" s="2" t="s">
        <v>16</v>
      </c>
    </row>
    <row r="847" spans="1:11" x14ac:dyDescent="0.2">
      <c r="A847" s="2" t="s">
        <v>1707</v>
      </c>
      <c r="B847" s="2" t="s">
        <v>1708</v>
      </c>
      <c r="C847" s="2" t="s">
        <v>53</v>
      </c>
      <c r="D847" s="3">
        <v>46172.895798611113</v>
      </c>
      <c r="E847" s="3">
        <v>46172.908993055556</v>
      </c>
      <c r="F847" s="9">
        <f>IF($K847="cancelled"," ",(quick_commerce_orders[[#This Row],[delivery_time]]-quick_commerce_orders[[#This Row],[order_time]])*1440)</f>
        <v>18.999999999068677</v>
      </c>
      <c r="G847" s="2">
        <v>1010.52</v>
      </c>
      <c r="H847" s="2" t="str">
        <f>IF(quick_commerce_orders[[#This Row],[order_value]]&lt;500,"Low",IF(quick_commerce_orders[[#This Row],[order_value]]&gt;1500,"High","Moderate"))</f>
        <v>Moderate</v>
      </c>
      <c r="I8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7" s="2" t="s">
        <v>11</v>
      </c>
      <c r="K847" s="2" t="s">
        <v>16</v>
      </c>
    </row>
    <row r="848" spans="1:11" x14ac:dyDescent="0.2">
      <c r="A848" s="2" t="s">
        <v>1709</v>
      </c>
      <c r="B848" s="2" t="s">
        <v>1710</v>
      </c>
      <c r="C848" s="2" t="s">
        <v>19</v>
      </c>
      <c r="D848" s="3">
        <v>46144.630046296297</v>
      </c>
      <c r="E848" s="3">
        <v>46144.667546296296</v>
      </c>
      <c r="F848" s="9">
        <f>IF($K848="cancelled"," ",(quick_commerce_orders[[#This Row],[delivery_time]]-quick_commerce_orders[[#This Row],[order_time]])*1440)</f>
        <v>53.999999997904524</v>
      </c>
      <c r="G848" s="2">
        <v>1792.46</v>
      </c>
      <c r="H848" s="2" t="str">
        <f>IF(quick_commerce_orders[[#This Row],[order_value]]&lt;500,"Low",IF(quick_commerce_orders[[#This Row],[order_value]]&gt;1500,"High","Moderate"))</f>
        <v>High</v>
      </c>
      <c r="I8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8" s="2" t="s">
        <v>15</v>
      </c>
      <c r="K848" s="2" t="s">
        <v>12</v>
      </c>
    </row>
    <row r="849" spans="1:11" x14ac:dyDescent="0.2">
      <c r="A849" s="2" t="s">
        <v>1711</v>
      </c>
      <c r="B849" s="2" t="s">
        <v>1712</v>
      </c>
      <c r="C849" s="2" t="s">
        <v>34</v>
      </c>
      <c r="D849" s="3">
        <v>46147.528356481482</v>
      </c>
      <c r="E849" s="3">
        <v>46147.562384259261</v>
      </c>
      <c r="F849" s="9">
        <f>IF($K849="cancelled"," ",(quick_commerce_orders[[#This Row],[delivery_time]]-quick_commerce_orders[[#This Row],[order_time]])*1440)</f>
        <v>49.000000002561137</v>
      </c>
      <c r="G849" s="2">
        <v>1238.01</v>
      </c>
      <c r="H849" s="2" t="str">
        <f>IF(quick_commerce_orders[[#This Row],[order_value]]&lt;500,"Low",IF(quick_commerce_orders[[#This Row],[order_value]]&gt;1500,"High","Moderate"))</f>
        <v>Moderate</v>
      </c>
      <c r="I8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49" s="2" t="s">
        <v>28</v>
      </c>
      <c r="K849" s="2" t="s">
        <v>12</v>
      </c>
    </row>
    <row r="850" spans="1:11" x14ac:dyDescent="0.2">
      <c r="A850" s="2" t="s">
        <v>1713</v>
      </c>
      <c r="B850" s="2" t="s">
        <v>1714</v>
      </c>
      <c r="C850" s="2" t="s">
        <v>10</v>
      </c>
      <c r="D850" s="3">
        <v>46157.905717592592</v>
      </c>
      <c r="E850" s="3">
        <v>46157.91474537037</v>
      </c>
      <c r="F850" s="9">
        <f>IF($K850="cancelled"," ",(quick_commerce_orders[[#This Row],[delivery_time]]-quick_commerce_orders[[#This Row],[order_time]])*1440)</f>
        <v>13.000000000465661</v>
      </c>
      <c r="G850" s="2">
        <v>447.36</v>
      </c>
      <c r="H850" s="2" t="str">
        <f>IF(quick_commerce_orders[[#This Row],[order_value]]&lt;500,"Low",IF(quick_commerce_orders[[#This Row],[order_value]]&gt;1500,"High","Moderate"))</f>
        <v>Low</v>
      </c>
      <c r="I8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0" s="2" t="s">
        <v>20</v>
      </c>
      <c r="K850" s="2" t="s">
        <v>16</v>
      </c>
    </row>
    <row r="851" spans="1:11" x14ac:dyDescent="0.2">
      <c r="A851" s="2" t="s">
        <v>1715</v>
      </c>
      <c r="B851" s="2" t="s">
        <v>1716</v>
      </c>
      <c r="C851" s="2" t="s">
        <v>10</v>
      </c>
      <c r="D851" s="3">
        <v>46163.557326388887</v>
      </c>
      <c r="E851" s="3">
        <v>46163.592048611114</v>
      </c>
      <c r="F851" s="9">
        <f>IF($K851="cancelled"," ",(quick_commerce_orders[[#This Row],[delivery_time]]-quick_commerce_orders[[#This Row],[order_time]])*1440)</f>
        <v>50.000000005820766</v>
      </c>
      <c r="G851" s="2">
        <v>2187.67</v>
      </c>
      <c r="H851" s="2" t="str">
        <f>IF(quick_commerce_orders[[#This Row],[order_value]]&lt;500,"Low",IF(quick_commerce_orders[[#This Row],[order_value]]&gt;1500,"High","Moderate"))</f>
        <v>High</v>
      </c>
      <c r="I8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1" s="2" t="s">
        <v>11</v>
      </c>
      <c r="K851" s="2" t="s">
        <v>12</v>
      </c>
    </row>
    <row r="852" spans="1:11" x14ac:dyDescent="0.2">
      <c r="A852" s="2" t="s">
        <v>1717</v>
      </c>
      <c r="B852" s="2" t="s">
        <v>1718</v>
      </c>
      <c r="C852" s="2" t="s">
        <v>31</v>
      </c>
      <c r="D852" s="3">
        <v>46143.953657407408</v>
      </c>
      <c r="E852" s="3">
        <v>46143.961296296293</v>
      </c>
      <c r="F852" s="9">
        <f>IF($K852="cancelled"," ",(quick_commerce_orders[[#This Row],[delivery_time]]-quick_commerce_orders[[#This Row],[order_time]])*1440)</f>
        <v>10.999999993946403</v>
      </c>
      <c r="G852" s="2">
        <v>127.47</v>
      </c>
      <c r="H852" s="2" t="str">
        <f>IF(quick_commerce_orders[[#This Row],[order_value]]&lt;500,"Low",IF(quick_commerce_orders[[#This Row],[order_value]]&gt;1500,"High","Moderate"))</f>
        <v>Low</v>
      </c>
      <c r="I8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2" s="2" t="s">
        <v>39</v>
      </c>
      <c r="K852" s="2" t="s">
        <v>16</v>
      </c>
    </row>
    <row r="853" spans="1:11" x14ac:dyDescent="0.2">
      <c r="A853" s="2" t="s">
        <v>1719</v>
      </c>
      <c r="B853" s="2" t="s">
        <v>1720</v>
      </c>
      <c r="C853" s="2" t="s">
        <v>27</v>
      </c>
      <c r="D853" s="3">
        <v>46158.378761574073</v>
      </c>
      <c r="E853" s="3">
        <v>46158.388483796298</v>
      </c>
      <c r="F853" s="9">
        <f>IF($K853="cancelled"," ",(quick_commerce_orders[[#This Row],[delivery_time]]-quick_commerce_orders[[#This Row],[order_time]])*1440)</f>
        <v>14.00000000372529</v>
      </c>
      <c r="G853" s="2">
        <v>2324.33</v>
      </c>
      <c r="H853" s="2" t="str">
        <f>IF(quick_commerce_orders[[#This Row],[order_value]]&lt;500,"Low",IF(quick_commerce_orders[[#This Row],[order_value]]&gt;1500,"High","Moderate"))</f>
        <v>High</v>
      </c>
      <c r="I8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53" s="2" t="s">
        <v>28</v>
      </c>
      <c r="K853" s="2" t="s">
        <v>16</v>
      </c>
    </row>
    <row r="854" spans="1:11" x14ac:dyDescent="0.2">
      <c r="A854" s="2" t="s">
        <v>1721</v>
      </c>
      <c r="B854" s="2" t="s">
        <v>1722</v>
      </c>
      <c r="C854" s="2" t="s">
        <v>27</v>
      </c>
      <c r="D854" s="3">
        <v>46164.10832175926</v>
      </c>
      <c r="E854" s="3">
        <v>46164.113877314812</v>
      </c>
      <c r="F854" s="9">
        <f>IF($K854="cancelled"," ",(quick_commerce_orders[[#This Row],[delivery_time]]-quick_commerce_orders[[#This Row],[order_time]])*1440)</f>
        <v>7.9999999946448952</v>
      </c>
      <c r="G854" s="2">
        <v>1176.17</v>
      </c>
      <c r="H854" s="2" t="str">
        <f>IF(quick_commerce_orders[[#This Row],[order_value]]&lt;500,"Low",IF(quick_commerce_orders[[#This Row],[order_value]]&gt;1500,"High","Moderate"))</f>
        <v>Moderate</v>
      </c>
      <c r="I8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54" s="2" t="s">
        <v>80</v>
      </c>
      <c r="K854" s="2" t="s">
        <v>16</v>
      </c>
    </row>
    <row r="855" spans="1:11" x14ac:dyDescent="0.2">
      <c r="A855" s="2" t="s">
        <v>1723</v>
      </c>
      <c r="B855" s="2" t="s">
        <v>1724</v>
      </c>
      <c r="C855" s="2" t="s">
        <v>75</v>
      </c>
      <c r="D855" s="3">
        <v>46154.639143518521</v>
      </c>
      <c r="E855" s="3">
        <v>46154.656504629631</v>
      </c>
      <c r="F855" s="9">
        <f>IF($K855="cancelled"," ",(quick_commerce_orders[[#This Row],[delivery_time]]-quick_commerce_orders[[#This Row],[order_time]])*1440)</f>
        <v>24.999999997671694</v>
      </c>
      <c r="G855" s="2">
        <v>1727.38</v>
      </c>
      <c r="H855" s="2" t="str">
        <f>IF(quick_commerce_orders[[#This Row],[order_value]]&lt;500,"Low",IF(quick_commerce_orders[[#This Row],[order_value]]&gt;1500,"High","Moderate"))</f>
        <v>High</v>
      </c>
      <c r="I8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5" s="2" t="s">
        <v>20</v>
      </c>
      <c r="K855" s="2" t="s">
        <v>12</v>
      </c>
    </row>
    <row r="856" spans="1:11" x14ac:dyDescent="0.2">
      <c r="A856" s="2" t="s">
        <v>1725</v>
      </c>
      <c r="B856" s="2" t="s">
        <v>1726</v>
      </c>
      <c r="C856" s="2" t="s">
        <v>34</v>
      </c>
      <c r="D856" s="3">
        <v>46156.761932870373</v>
      </c>
      <c r="E856" s="3">
        <v>46156.770266203705</v>
      </c>
      <c r="F856" s="9">
        <f>IF($K856="cancelled"," ",(quick_commerce_orders[[#This Row],[delivery_time]]-quick_commerce_orders[[#This Row],[order_time]])*1440)</f>
        <v>11.999999997206032</v>
      </c>
      <c r="G856" s="2">
        <v>2407.23</v>
      </c>
      <c r="H856" s="2" t="str">
        <f>IF(quick_commerce_orders[[#This Row],[order_value]]&lt;500,"Low",IF(quick_commerce_orders[[#This Row],[order_value]]&gt;1500,"High","Moderate"))</f>
        <v>High</v>
      </c>
      <c r="I8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6" s="2" t="s">
        <v>20</v>
      </c>
      <c r="K856" s="2" t="s">
        <v>16</v>
      </c>
    </row>
    <row r="857" spans="1:11" x14ac:dyDescent="0.2">
      <c r="A857" s="2" t="s">
        <v>1727</v>
      </c>
      <c r="B857" s="2" t="s">
        <v>1728</v>
      </c>
      <c r="C857" s="2" t="s">
        <v>34</v>
      </c>
      <c r="D857" s="3">
        <v>46155.657777777778</v>
      </c>
      <c r="E857" s="3">
        <v>46155.664027777777</v>
      </c>
      <c r="F857" s="9">
        <f>IF($K857="cancelled"," ",(quick_commerce_orders[[#This Row],[delivery_time]]-quick_commerce_orders[[#This Row],[order_time]])*1440)</f>
        <v>8.9999999979045242</v>
      </c>
      <c r="G857" s="2">
        <v>1737.9</v>
      </c>
      <c r="H857" s="2" t="str">
        <f>IF(quick_commerce_orders[[#This Row],[order_value]]&lt;500,"Low",IF(quick_commerce_orders[[#This Row],[order_value]]&gt;1500,"High","Moderate"))</f>
        <v>High</v>
      </c>
      <c r="I8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7" s="2" t="s">
        <v>28</v>
      </c>
      <c r="K857" s="2" t="s">
        <v>16</v>
      </c>
    </row>
    <row r="858" spans="1:11" x14ac:dyDescent="0.2">
      <c r="A858" s="2" t="s">
        <v>1729</v>
      </c>
      <c r="B858" s="2" t="s">
        <v>1730</v>
      </c>
      <c r="C858" s="2" t="s">
        <v>75</v>
      </c>
      <c r="D858" s="3">
        <v>46158.969386574077</v>
      </c>
      <c r="E858" s="3">
        <v>46158.982581018521</v>
      </c>
      <c r="F858" s="9">
        <f>IF($K858="cancelled"," ",(quick_commerce_orders[[#This Row],[delivery_time]]-quick_commerce_orders[[#This Row],[order_time]])*1440)</f>
        <v>18.999999999068677</v>
      </c>
      <c r="G858" s="2">
        <v>197.44</v>
      </c>
      <c r="H858" s="2" t="str">
        <f>IF(quick_commerce_orders[[#This Row],[order_value]]&lt;500,"Low",IF(quick_commerce_orders[[#This Row],[order_value]]&gt;1500,"High","Moderate"))</f>
        <v>Low</v>
      </c>
      <c r="I8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58" s="2" t="s">
        <v>15</v>
      </c>
      <c r="K858" s="2" t="s">
        <v>16</v>
      </c>
    </row>
    <row r="859" spans="1:11" x14ac:dyDescent="0.2">
      <c r="A859" s="2" t="s">
        <v>1731</v>
      </c>
      <c r="B859" s="2" t="s">
        <v>1732</v>
      </c>
      <c r="C859" s="2" t="s">
        <v>27</v>
      </c>
      <c r="D859" s="3">
        <v>46159.25986111111</v>
      </c>
      <c r="E859" s="3">
        <v>46159.282777777778</v>
      </c>
      <c r="F859" s="9">
        <f>IF($K859="cancelled"," ",(quick_commerce_orders[[#This Row],[delivery_time]]-quick_commerce_orders[[#This Row],[order_time]])*1440)</f>
        <v>33.000000002793968</v>
      </c>
      <c r="G859" s="2">
        <v>2301.5100000000002</v>
      </c>
      <c r="H859" s="2" t="str">
        <f>IF(quick_commerce_orders[[#This Row],[order_value]]&lt;500,"Low",IF(quick_commerce_orders[[#This Row],[order_value]]&gt;1500,"High","Moderate"))</f>
        <v>High</v>
      </c>
      <c r="I8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59" s="2" t="s">
        <v>28</v>
      </c>
      <c r="K859" s="2" t="s">
        <v>12</v>
      </c>
    </row>
    <row r="860" spans="1:11" x14ac:dyDescent="0.2">
      <c r="A860" s="2" t="s">
        <v>1733</v>
      </c>
      <c r="B860" s="2" t="s">
        <v>1734</v>
      </c>
      <c r="C860" s="2" t="s">
        <v>53</v>
      </c>
      <c r="D860" s="3">
        <v>46158.80704861111</v>
      </c>
      <c r="E860" s="3">
        <v>46158.816076388888</v>
      </c>
      <c r="F860" s="9">
        <f>IF($K860="cancelled"," ",(quick_commerce_orders[[#This Row],[delivery_time]]-quick_commerce_orders[[#This Row],[order_time]])*1440)</f>
        <v>13.000000000465661</v>
      </c>
      <c r="G860" s="2">
        <v>1628.82</v>
      </c>
      <c r="H860" s="2" t="str">
        <f>IF(quick_commerce_orders[[#This Row],[order_value]]&lt;500,"Low",IF(quick_commerce_orders[[#This Row],[order_value]]&gt;1500,"High","Moderate"))</f>
        <v>High</v>
      </c>
      <c r="I8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0" s="2" t="s">
        <v>20</v>
      </c>
      <c r="K860" s="2" t="s">
        <v>16</v>
      </c>
    </row>
    <row r="861" spans="1:11" x14ac:dyDescent="0.2">
      <c r="A861" s="2" t="s">
        <v>1735</v>
      </c>
      <c r="B861" s="2" t="s">
        <v>1736</v>
      </c>
      <c r="C861" s="2" t="s">
        <v>19</v>
      </c>
      <c r="D861" s="3">
        <v>46149.165335648147</v>
      </c>
      <c r="E861" s="3">
        <v>46149.177835648145</v>
      </c>
      <c r="F861" s="9">
        <f>IF($K861="cancelled"," ",(quick_commerce_orders[[#This Row],[delivery_time]]-quick_commerce_orders[[#This Row],[order_time]])*1440)</f>
        <v>17.999999995809048</v>
      </c>
      <c r="G861" s="2">
        <v>2393.84</v>
      </c>
      <c r="H861" s="2" t="str">
        <f>IF(quick_commerce_orders[[#This Row],[order_value]]&lt;500,"Low",IF(quick_commerce_orders[[#This Row],[order_value]]&gt;1500,"High","Moderate"))</f>
        <v>High</v>
      </c>
      <c r="I8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61" s="2" t="s">
        <v>39</v>
      </c>
      <c r="K861" s="2" t="s">
        <v>16</v>
      </c>
    </row>
    <row r="862" spans="1:11" x14ac:dyDescent="0.2">
      <c r="A862" s="2" t="s">
        <v>1737</v>
      </c>
      <c r="B862" s="2" t="s">
        <v>1738</v>
      </c>
      <c r="C862" s="2" t="s">
        <v>42</v>
      </c>
      <c r="D862" s="3">
        <v>46174.792222222219</v>
      </c>
      <c r="E862" s="3">
        <v>46174.80541666667</v>
      </c>
      <c r="F862" s="9">
        <f>IF($K862="cancelled"," ",(quick_commerce_orders[[#This Row],[delivery_time]]-quick_commerce_orders[[#This Row],[order_time]])*1440)</f>
        <v>19.000000009546056</v>
      </c>
      <c r="G862" s="2">
        <v>1135.29</v>
      </c>
      <c r="H862" s="2" t="str">
        <f>IF(quick_commerce_orders[[#This Row],[order_value]]&lt;500,"Low",IF(quick_commerce_orders[[#This Row],[order_value]]&gt;1500,"High","Moderate"))</f>
        <v>Moderate</v>
      </c>
      <c r="I8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2" s="2" t="s">
        <v>80</v>
      </c>
      <c r="K862" s="2" t="s">
        <v>16</v>
      </c>
    </row>
    <row r="863" spans="1:11" x14ac:dyDescent="0.2">
      <c r="A863" s="2" t="s">
        <v>1739</v>
      </c>
      <c r="B863" s="2" t="s">
        <v>1740</v>
      </c>
      <c r="C863" s="2" t="s">
        <v>75</v>
      </c>
      <c r="D863" s="3">
        <v>46145.641423611109</v>
      </c>
      <c r="E863" s="3">
        <v>46145.65184027778</v>
      </c>
      <c r="F863" s="9">
        <f>IF($K863="cancelled"," ",(quick_commerce_orders[[#This Row],[delivery_time]]-quick_commerce_orders[[#This Row],[order_time]])*1440)</f>
        <v>15.000000006984919</v>
      </c>
      <c r="G863" s="2">
        <v>2302.3000000000002</v>
      </c>
      <c r="H863" s="2" t="str">
        <f>IF(quick_commerce_orders[[#This Row],[order_value]]&lt;500,"Low",IF(quick_commerce_orders[[#This Row],[order_value]]&gt;1500,"High","Moderate"))</f>
        <v>High</v>
      </c>
      <c r="I8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3" s="2" t="s">
        <v>39</v>
      </c>
      <c r="K863" s="2" t="s">
        <v>16</v>
      </c>
    </row>
    <row r="864" spans="1:11" x14ac:dyDescent="0.2">
      <c r="A864" s="2" t="s">
        <v>1741</v>
      </c>
      <c r="B864" s="2" t="s">
        <v>1742</v>
      </c>
      <c r="C864" s="2" t="s">
        <v>31</v>
      </c>
      <c r="D864" s="3">
        <v>46163.665231481478</v>
      </c>
      <c r="E864" s="3">
        <v>46163.67564814815</v>
      </c>
      <c r="F864" s="9">
        <f>IF($K864="cancelled"," ",(quick_commerce_orders[[#This Row],[delivery_time]]-quick_commerce_orders[[#This Row],[order_time]])*1440)</f>
        <v>15.000000006984919</v>
      </c>
      <c r="G864" s="2">
        <v>2159.0500000000002</v>
      </c>
      <c r="H864" s="2" t="str">
        <f>IF(quick_commerce_orders[[#This Row],[order_value]]&lt;500,"Low",IF(quick_commerce_orders[[#This Row],[order_value]]&gt;1500,"High","Moderate"))</f>
        <v>High</v>
      </c>
      <c r="I8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4" s="2" t="s">
        <v>20</v>
      </c>
      <c r="K864" s="2" t="s">
        <v>16</v>
      </c>
    </row>
    <row r="865" spans="1:11" x14ac:dyDescent="0.2">
      <c r="A865" s="2" t="s">
        <v>1743</v>
      </c>
      <c r="B865" s="2" t="s">
        <v>1744</v>
      </c>
      <c r="C865" s="2" t="s">
        <v>19</v>
      </c>
      <c r="D865" s="3">
        <v>46160.633194444446</v>
      </c>
      <c r="E865" s="3">
        <v>46160.643611111111</v>
      </c>
      <c r="F865" s="9">
        <f>IF($K865="cancelled"," ",(quick_commerce_orders[[#This Row],[delivery_time]]-quick_commerce_orders[[#This Row],[order_time]])*1440)</f>
        <v>14.99999999650754</v>
      </c>
      <c r="G865" s="2">
        <v>902.92</v>
      </c>
      <c r="H865" s="2" t="str">
        <f>IF(quick_commerce_orders[[#This Row],[order_value]]&lt;500,"Low",IF(quick_commerce_orders[[#This Row],[order_value]]&gt;1500,"High","Moderate"))</f>
        <v>Moderate</v>
      </c>
      <c r="I8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5" s="2" t="s">
        <v>39</v>
      </c>
      <c r="K865" s="2" t="s">
        <v>16</v>
      </c>
    </row>
    <row r="866" spans="1:11" x14ac:dyDescent="0.2">
      <c r="A866" s="2" t="s">
        <v>1745</v>
      </c>
      <c r="B866" s="2" t="s">
        <v>1746</v>
      </c>
      <c r="C866" s="2" t="s">
        <v>31</v>
      </c>
      <c r="D866" s="3">
        <v>46160.510277777779</v>
      </c>
      <c r="E866" s="3">
        <v>46160.516527777778</v>
      </c>
      <c r="F866" s="9">
        <f>IF($K866="cancelled"," ",(quick_commerce_orders[[#This Row],[delivery_time]]-quick_commerce_orders[[#This Row],[order_time]])*1440)</f>
        <v>8.9999999979045242</v>
      </c>
      <c r="G866" s="2">
        <v>740.01</v>
      </c>
      <c r="H866" s="2" t="str">
        <f>IF(quick_commerce_orders[[#This Row],[order_value]]&lt;500,"Low",IF(quick_commerce_orders[[#This Row],[order_value]]&gt;1500,"High","Moderate"))</f>
        <v>Moderate</v>
      </c>
      <c r="I8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6" s="2" t="s">
        <v>15</v>
      </c>
      <c r="K866" s="2" t="s">
        <v>16</v>
      </c>
    </row>
    <row r="867" spans="1:11" x14ac:dyDescent="0.2">
      <c r="A867" s="2" t="s">
        <v>1747</v>
      </c>
      <c r="B867" s="2" t="s">
        <v>1748</v>
      </c>
      <c r="C867" s="2" t="s">
        <v>27</v>
      </c>
      <c r="D867" s="3">
        <v>46151.06517361111</v>
      </c>
      <c r="E867" s="3">
        <v>46151.071423611109</v>
      </c>
      <c r="F867" s="9">
        <f>IF($K867="cancelled"," ",(quick_commerce_orders[[#This Row],[delivery_time]]-quick_commerce_orders[[#This Row],[order_time]])*1440)</f>
        <v>8.9999999979045242</v>
      </c>
      <c r="G867" s="2">
        <v>334.86</v>
      </c>
      <c r="H867" s="2" t="str">
        <f>IF(quick_commerce_orders[[#This Row],[order_value]]&lt;500,"Low",IF(quick_commerce_orders[[#This Row],[order_value]]&gt;1500,"High","Moderate"))</f>
        <v>Low</v>
      </c>
      <c r="I8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67" s="2" t="s">
        <v>28</v>
      </c>
      <c r="K867" s="2" t="s">
        <v>16</v>
      </c>
    </row>
    <row r="868" spans="1:11" x14ac:dyDescent="0.2">
      <c r="A868" s="2" t="s">
        <v>1749</v>
      </c>
      <c r="B868" s="2" t="s">
        <v>1750</v>
      </c>
      <c r="C868" s="2" t="s">
        <v>19</v>
      </c>
      <c r="D868" s="3">
        <v>46170.648634259262</v>
      </c>
      <c r="E868" s="3">
        <v>46170.659745370373</v>
      </c>
      <c r="F868" s="9">
        <f>IF($K868="cancelled"," ",(quick_commerce_orders[[#This Row],[delivery_time]]-quick_commerce_orders[[#This Row],[order_time]])*1440)</f>
        <v>15.999999999767169</v>
      </c>
      <c r="G868" s="2">
        <v>1669.42</v>
      </c>
      <c r="H868" s="2" t="str">
        <f>IF(quick_commerce_orders[[#This Row],[order_value]]&lt;500,"Low",IF(quick_commerce_orders[[#This Row],[order_value]]&gt;1500,"High","Moderate"))</f>
        <v>High</v>
      </c>
      <c r="I8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8" s="2" t="s">
        <v>20</v>
      </c>
      <c r="K868" s="2" t="s">
        <v>16</v>
      </c>
    </row>
    <row r="869" spans="1:11" x14ac:dyDescent="0.2">
      <c r="A869" s="2" t="s">
        <v>1751</v>
      </c>
      <c r="B869" s="2" t="s">
        <v>1752</v>
      </c>
      <c r="C869" s="2" t="s">
        <v>27</v>
      </c>
      <c r="D869" s="3">
        <v>46165.53869212963</v>
      </c>
      <c r="E869" s="3">
        <v>46165.566469907404</v>
      </c>
      <c r="F869" s="9">
        <f>IF($K869="cancelled"," ",(quick_commerce_orders[[#This Row],[delivery_time]]-quick_commerce_orders[[#This Row],[order_time]])*1440)</f>
        <v>39.999999994179234</v>
      </c>
      <c r="G869" s="2">
        <v>1037.77</v>
      </c>
      <c r="H869" s="2" t="str">
        <f>IF(quick_commerce_orders[[#This Row],[order_value]]&lt;500,"Low",IF(quick_commerce_orders[[#This Row],[order_value]]&gt;1500,"High","Moderate"))</f>
        <v>Moderate</v>
      </c>
      <c r="I8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69" s="2" t="s">
        <v>80</v>
      </c>
      <c r="K869" s="2" t="s">
        <v>12</v>
      </c>
    </row>
    <row r="870" spans="1:11" x14ac:dyDescent="0.2">
      <c r="A870" s="2" t="s">
        <v>1753</v>
      </c>
      <c r="B870" s="2" t="s">
        <v>1754</v>
      </c>
      <c r="C870" s="2" t="s">
        <v>10</v>
      </c>
      <c r="D870" s="3">
        <v>46154.588703703703</v>
      </c>
      <c r="E870" s="3">
        <v>46154.601898148147</v>
      </c>
      <c r="F870" s="9">
        <f>IF($K870="cancelled"," ",(quick_commerce_orders[[#This Row],[delivery_time]]-quick_commerce_orders[[#This Row],[order_time]])*1440)</f>
        <v>18.999999999068677</v>
      </c>
      <c r="G870" s="2">
        <v>1954.56</v>
      </c>
      <c r="H870" s="2" t="str">
        <f>IF(quick_commerce_orders[[#This Row],[order_value]]&lt;500,"Low",IF(quick_commerce_orders[[#This Row],[order_value]]&gt;1500,"High","Moderate"))</f>
        <v>High</v>
      </c>
      <c r="I8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70" s="2" t="s">
        <v>11</v>
      </c>
      <c r="K870" s="2" t="s">
        <v>16</v>
      </c>
    </row>
    <row r="871" spans="1:11" x14ac:dyDescent="0.2">
      <c r="A871" s="2" t="s">
        <v>1755</v>
      </c>
      <c r="B871" s="2" t="s">
        <v>1756</v>
      </c>
      <c r="C871" s="2" t="s">
        <v>31</v>
      </c>
      <c r="D871" s="3">
        <v>46172.447222222225</v>
      </c>
      <c r="E871" s="3">
        <v>46172.457638888889</v>
      </c>
      <c r="F871" s="9">
        <f>IF($K871="cancelled"," ",(quick_commerce_orders[[#This Row],[delivery_time]]-quick_commerce_orders[[#This Row],[order_time]])*1440)</f>
        <v>14.99999999650754</v>
      </c>
      <c r="G871" s="2">
        <v>1896.82</v>
      </c>
      <c r="H871" s="2" t="str">
        <f>IF(quick_commerce_orders[[#This Row],[order_value]]&lt;500,"Low",IF(quick_commerce_orders[[#This Row],[order_value]]&gt;1500,"High","Moderate"))</f>
        <v>High</v>
      </c>
      <c r="I8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71" s="2" t="s">
        <v>80</v>
      </c>
      <c r="K871" s="2" t="s">
        <v>16</v>
      </c>
    </row>
    <row r="872" spans="1:11" x14ac:dyDescent="0.2">
      <c r="A872" s="2" t="s">
        <v>1757</v>
      </c>
      <c r="B872" s="2" t="s">
        <v>1758</v>
      </c>
      <c r="C872" s="2" t="s">
        <v>75</v>
      </c>
      <c r="D872" s="3">
        <v>46143.884305555555</v>
      </c>
      <c r="E872" s="3">
        <v>46143.891250000001</v>
      </c>
      <c r="F872" s="9">
        <f>IF($K872="cancelled"," ",(quick_commerce_orders[[#This Row],[delivery_time]]-quick_commerce_orders[[#This Row],[order_time]])*1440)</f>
        <v>10.000000001164153</v>
      </c>
      <c r="G872" s="2">
        <v>1861.35</v>
      </c>
      <c r="H872" s="2" t="str">
        <f>IF(quick_commerce_orders[[#This Row],[order_value]]&lt;500,"Low",IF(quick_commerce_orders[[#This Row],[order_value]]&gt;1500,"High","Moderate"))</f>
        <v>High</v>
      </c>
      <c r="I8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72" s="2" t="s">
        <v>15</v>
      </c>
      <c r="K872" s="2" t="s">
        <v>16</v>
      </c>
    </row>
    <row r="873" spans="1:11" x14ac:dyDescent="0.2">
      <c r="A873" s="2" t="s">
        <v>1759</v>
      </c>
      <c r="B873" s="2" t="s">
        <v>1760</v>
      </c>
      <c r="C873" s="2" t="s">
        <v>53</v>
      </c>
      <c r="D873" s="3">
        <v>46149.43309027778</v>
      </c>
      <c r="E873" s="3">
        <v>46149.443506944444</v>
      </c>
      <c r="F873" s="9">
        <f>IF($K873="cancelled"," ",(quick_commerce_orders[[#This Row],[delivery_time]]-quick_commerce_orders[[#This Row],[order_time]])*1440)</f>
        <v>14.99999999650754</v>
      </c>
      <c r="G873" s="2">
        <v>1511.94</v>
      </c>
      <c r="H873" s="2" t="str">
        <f>IF(quick_commerce_orders[[#This Row],[order_value]]&lt;500,"Low",IF(quick_commerce_orders[[#This Row],[order_value]]&gt;1500,"High","Moderate"))</f>
        <v>High</v>
      </c>
      <c r="I8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73" s="2" t="s">
        <v>11</v>
      </c>
      <c r="K873" s="2" t="s">
        <v>16</v>
      </c>
    </row>
    <row r="874" spans="1:11" x14ac:dyDescent="0.2">
      <c r="A874" s="2" t="s">
        <v>1761</v>
      </c>
      <c r="B874" s="2" t="s">
        <v>1762</v>
      </c>
      <c r="C874" s="2" t="s">
        <v>19</v>
      </c>
      <c r="D874" s="3">
        <v>46159.232824074075</v>
      </c>
      <c r="E874" s="3">
        <v>46159.241157407407</v>
      </c>
      <c r="F874" s="9">
        <f>IF($K874="cancelled"," ",(quick_commerce_orders[[#This Row],[delivery_time]]-quick_commerce_orders[[#This Row],[order_time]])*1440)</f>
        <v>11.999999997206032</v>
      </c>
      <c r="G874" s="2">
        <v>566.82000000000005</v>
      </c>
      <c r="H874" s="2" t="str">
        <f>IF(quick_commerce_orders[[#This Row],[order_value]]&lt;500,"Low",IF(quick_commerce_orders[[#This Row],[order_value]]&gt;1500,"High","Moderate"))</f>
        <v>Moderate</v>
      </c>
      <c r="I8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74" s="2" t="s">
        <v>39</v>
      </c>
      <c r="K874" s="2" t="s">
        <v>16</v>
      </c>
    </row>
    <row r="875" spans="1:11" x14ac:dyDescent="0.2">
      <c r="A875" s="2" t="s">
        <v>1763</v>
      </c>
      <c r="B875" s="2" t="s">
        <v>1764</v>
      </c>
      <c r="C875" s="2" t="s">
        <v>34</v>
      </c>
      <c r="D875" s="3">
        <v>46158.354618055557</v>
      </c>
      <c r="E875" s="3">
        <v>46158.361562500002</v>
      </c>
      <c r="F875" s="9">
        <f>IF($K875="cancelled"," ",(quick_commerce_orders[[#This Row],[delivery_time]]-quick_commerce_orders[[#This Row],[order_time]])*1440)</f>
        <v>10.000000001164153</v>
      </c>
      <c r="G875" s="2">
        <v>908.78</v>
      </c>
      <c r="H875" s="2" t="str">
        <f>IF(quick_commerce_orders[[#This Row],[order_value]]&lt;500,"Low",IF(quick_commerce_orders[[#This Row],[order_value]]&gt;1500,"High","Moderate"))</f>
        <v>Moderate</v>
      </c>
      <c r="I8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75" s="2" t="s">
        <v>39</v>
      </c>
      <c r="K875" s="2" t="s">
        <v>16</v>
      </c>
    </row>
    <row r="876" spans="1:11" x14ac:dyDescent="0.2">
      <c r="A876" s="2" t="s">
        <v>1765</v>
      </c>
      <c r="B876" s="2" t="s">
        <v>1766</v>
      </c>
      <c r="C876" s="2" t="s">
        <v>75</v>
      </c>
      <c r="D876" s="3">
        <v>46164.466331018521</v>
      </c>
      <c r="E876" s="3">
        <v>46164.473275462966</v>
      </c>
      <c r="F876" s="9">
        <f>IF($K876="cancelled"," ",(quick_commerce_orders[[#This Row],[delivery_time]]-quick_commerce_orders[[#This Row],[order_time]])*1440)</f>
        <v>10.000000001164153</v>
      </c>
      <c r="G876" s="2">
        <v>1755.67</v>
      </c>
      <c r="H876" s="2" t="str">
        <f>IF(quick_commerce_orders[[#This Row],[order_value]]&lt;500,"Low",IF(quick_commerce_orders[[#This Row],[order_value]]&gt;1500,"High","Moderate"))</f>
        <v>High</v>
      </c>
      <c r="I8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76" s="2" t="s">
        <v>80</v>
      </c>
      <c r="K876" s="2" t="s">
        <v>16</v>
      </c>
    </row>
    <row r="877" spans="1:11" x14ac:dyDescent="0.2">
      <c r="A877" s="2" t="s">
        <v>1767</v>
      </c>
      <c r="B877" s="2" t="s">
        <v>1768</v>
      </c>
      <c r="C877" s="2" t="s">
        <v>53</v>
      </c>
      <c r="D877" s="3">
        <v>46170.268564814818</v>
      </c>
      <c r="E877" s="3"/>
      <c r="F877" s="9" t="str">
        <f>IF($K877="cancelled"," ",(quick_commerce_orders[[#This Row],[delivery_time]]-quick_commerce_orders[[#This Row],[order_time]])*1440)</f>
        <v xml:space="preserve"> </v>
      </c>
      <c r="G877" s="2">
        <v>530.79999999999995</v>
      </c>
      <c r="H877" s="2" t="str">
        <f>IF(quick_commerce_orders[[#This Row],[order_value]]&lt;500,"Low",IF(quick_commerce_orders[[#This Row],[order_value]]&gt;1500,"High","Moderate"))</f>
        <v>Moderate</v>
      </c>
      <c r="I8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77" s="2" t="s">
        <v>20</v>
      </c>
      <c r="K877" s="2" t="s">
        <v>58</v>
      </c>
    </row>
    <row r="878" spans="1:11" x14ac:dyDescent="0.2">
      <c r="A878" s="2" t="s">
        <v>1769</v>
      </c>
      <c r="B878" s="2" t="s">
        <v>1770</v>
      </c>
      <c r="C878" s="2" t="s">
        <v>42</v>
      </c>
      <c r="D878" s="3">
        <v>46166.496122685188</v>
      </c>
      <c r="E878" s="3">
        <v>46166.514178240737</v>
      </c>
      <c r="F878" s="9">
        <f>IF($K878="cancelled"," ",(quick_commerce_orders[[#This Row],[delivery_time]]-quick_commerce_orders[[#This Row],[order_time]])*1440)</f>
        <v>25.999999990453944</v>
      </c>
      <c r="G878" s="2">
        <v>1413.27</v>
      </c>
      <c r="H878" s="2" t="str">
        <f>IF(quick_commerce_orders[[#This Row],[order_value]]&lt;500,"Low",IF(quick_commerce_orders[[#This Row],[order_value]]&gt;1500,"High","Moderate"))</f>
        <v>Moderate</v>
      </c>
      <c r="I8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78" s="2" t="s">
        <v>39</v>
      </c>
      <c r="K878" s="2" t="s">
        <v>12</v>
      </c>
    </row>
    <row r="879" spans="1:11" x14ac:dyDescent="0.2">
      <c r="A879" s="2" t="s">
        <v>1771</v>
      </c>
      <c r="B879" s="2" t="s">
        <v>1772</v>
      </c>
      <c r="C879" s="2" t="s">
        <v>53</v>
      </c>
      <c r="D879" s="3">
        <v>46160.59138888889</v>
      </c>
      <c r="E879" s="3">
        <v>46160.603194444448</v>
      </c>
      <c r="F879" s="9">
        <f>IF($K879="cancelled"," ",(quick_commerce_orders[[#This Row],[delivery_time]]-quick_commerce_orders[[#This Row],[order_time]])*1440)</f>
        <v>17.000000003026798</v>
      </c>
      <c r="G879" s="2">
        <v>1713.72</v>
      </c>
      <c r="H879" s="2" t="str">
        <f>IF(quick_commerce_orders[[#This Row],[order_value]]&lt;500,"Low",IF(quick_commerce_orders[[#This Row],[order_value]]&gt;1500,"High","Moderate"))</f>
        <v>High</v>
      </c>
      <c r="I8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79" s="2" t="s">
        <v>20</v>
      </c>
      <c r="K879" s="2" t="s">
        <v>16</v>
      </c>
    </row>
    <row r="880" spans="1:11" x14ac:dyDescent="0.2">
      <c r="A880" s="2" t="s">
        <v>1773</v>
      </c>
      <c r="B880" s="2" t="s">
        <v>1774</v>
      </c>
      <c r="C880" s="2" t="s">
        <v>19</v>
      </c>
      <c r="D880" s="3">
        <v>46151.780023148145</v>
      </c>
      <c r="E880" s="3">
        <v>46151.786273148151</v>
      </c>
      <c r="F880" s="9">
        <f>IF($K880="cancelled"," ",(quick_commerce_orders[[#This Row],[delivery_time]]-quick_commerce_orders[[#This Row],[order_time]])*1440)</f>
        <v>9.0000000083819032</v>
      </c>
      <c r="G880" s="2">
        <v>2095.0500000000002</v>
      </c>
      <c r="H880" s="2" t="str">
        <f>IF(quick_commerce_orders[[#This Row],[order_value]]&lt;500,"Low",IF(quick_commerce_orders[[#This Row],[order_value]]&gt;1500,"High","Moderate"))</f>
        <v>High</v>
      </c>
      <c r="I8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0" s="2" t="s">
        <v>80</v>
      </c>
      <c r="K880" s="2" t="s">
        <v>16</v>
      </c>
    </row>
    <row r="881" spans="1:11" x14ac:dyDescent="0.2">
      <c r="A881" s="2" t="s">
        <v>1775</v>
      </c>
      <c r="B881" s="2" t="s">
        <v>1776</v>
      </c>
      <c r="C881" s="2" t="s">
        <v>31</v>
      </c>
      <c r="D881" s="3">
        <v>46149.970729166664</v>
      </c>
      <c r="E881" s="3">
        <v>46149.995729166665</v>
      </c>
      <c r="F881" s="9">
        <f>IF($K881="cancelled"," ",(quick_commerce_orders[[#This Row],[delivery_time]]-quick_commerce_orders[[#This Row],[order_time]])*1440)</f>
        <v>36.000000002095476</v>
      </c>
      <c r="G881" s="2">
        <v>127.71</v>
      </c>
      <c r="H881" s="2" t="str">
        <f>IF(quick_commerce_orders[[#This Row],[order_value]]&lt;500,"Low",IF(quick_commerce_orders[[#This Row],[order_value]]&gt;1500,"High","Moderate"))</f>
        <v>Low</v>
      </c>
      <c r="I8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1" s="2" t="s">
        <v>20</v>
      </c>
      <c r="K881" s="2" t="s">
        <v>12</v>
      </c>
    </row>
    <row r="882" spans="1:11" x14ac:dyDescent="0.2">
      <c r="A882" s="2" t="s">
        <v>1777</v>
      </c>
      <c r="B882" s="2" t="s">
        <v>1778</v>
      </c>
      <c r="C882" s="2" t="s">
        <v>31</v>
      </c>
      <c r="D882" s="3">
        <v>46158.727708333332</v>
      </c>
      <c r="E882" s="3">
        <v>46158.736041666663</v>
      </c>
      <c r="F882" s="9">
        <f>IF($K882="cancelled"," ",(quick_commerce_orders[[#This Row],[delivery_time]]-quick_commerce_orders[[#This Row],[order_time]])*1440)</f>
        <v>11.999999997206032</v>
      </c>
      <c r="G882" s="2">
        <v>333.48</v>
      </c>
      <c r="H882" s="2" t="str">
        <f>IF(quick_commerce_orders[[#This Row],[order_value]]&lt;500,"Low",IF(quick_commerce_orders[[#This Row],[order_value]]&gt;1500,"High","Moderate"))</f>
        <v>Low</v>
      </c>
      <c r="I8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2" s="2" t="s">
        <v>15</v>
      </c>
      <c r="K882" s="2" t="s">
        <v>16</v>
      </c>
    </row>
    <row r="883" spans="1:11" x14ac:dyDescent="0.2">
      <c r="A883" s="2" t="s">
        <v>1779</v>
      </c>
      <c r="B883" s="2" t="s">
        <v>1780</v>
      </c>
      <c r="C883" s="2" t="s">
        <v>31</v>
      </c>
      <c r="D883" s="3">
        <v>46167.256840277776</v>
      </c>
      <c r="E883" s="3">
        <v>46167.263090277775</v>
      </c>
      <c r="F883" s="9">
        <f>IF($K883="cancelled"," ",(quick_commerce_orders[[#This Row],[delivery_time]]-quick_commerce_orders[[#This Row],[order_time]])*1440)</f>
        <v>8.9999999979045242</v>
      </c>
      <c r="G883" s="2">
        <v>348.38</v>
      </c>
      <c r="H883" s="2" t="str">
        <f>IF(quick_commerce_orders[[#This Row],[order_value]]&lt;500,"Low",IF(quick_commerce_orders[[#This Row],[order_value]]&gt;1500,"High","Moderate"))</f>
        <v>Low</v>
      </c>
      <c r="I8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83" s="2" t="s">
        <v>11</v>
      </c>
      <c r="K883" s="2" t="s">
        <v>16</v>
      </c>
    </row>
    <row r="884" spans="1:11" x14ac:dyDescent="0.2">
      <c r="A884" s="2" t="s">
        <v>1781</v>
      </c>
      <c r="B884" s="2" t="s">
        <v>1782</v>
      </c>
      <c r="C884" s="2" t="s">
        <v>42</v>
      </c>
      <c r="D884" s="3">
        <v>46152.660416666666</v>
      </c>
      <c r="E884" s="3">
        <v>46152.671527777777</v>
      </c>
      <c r="F884" s="9">
        <f>IF($K884="cancelled"," ",(quick_commerce_orders[[#This Row],[delivery_time]]-quick_commerce_orders[[#This Row],[order_time]])*1440)</f>
        <v>15.999999999767169</v>
      </c>
      <c r="G884" s="2">
        <v>1169.26</v>
      </c>
      <c r="H884" s="2" t="str">
        <f>IF(quick_commerce_orders[[#This Row],[order_value]]&lt;500,"Low",IF(quick_commerce_orders[[#This Row],[order_value]]&gt;1500,"High","Moderate"))</f>
        <v>Moderate</v>
      </c>
      <c r="I8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4" s="2" t="s">
        <v>80</v>
      </c>
      <c r="K884" s="2" t="s">
        <v>16</v>
      </c>
    </row>
    <row r="885" spans="1:11" x14ac:dyDescent="0.2">
      <c r="A885" s="2" t="s">
        <v>1783</v>
      </c>
      <c r="B885" s="2" t="s">
        <v>1784</v>
      </c>
      <c r="C885" s="2" t="s">
        <v>10</v>
      </c>
      <c r="D885" s="3">
        <v>46154.563287037039</v>
      </c>
      <c r="E885" s="3">
        <v>46154.576481481483</v>
      </c>
      <c r="F885" s="9">
        <f>IF($K885="cancelled"," ",(quick_commerce_orders[[#This Row],[delivery_time]]-quick_commerce_orders[[#This Row],[order_time]])*1440)</f>
        <v>18.999999999068677</v>
      </c>
      <c r="G885" s="2">
        <v>625.6</v>
      </c>
      <c r="H885" s="2" t="str">
        <f>IF(quick_commerce_orders[[#This Row],[order_value]]&lt;500,"Low",IF(quick_commerce_orders[[#This Row],[order_value]]&gt;1500,"High","Moderate"))</f>
        <v>Moderate</v>
      </c>
      <c r="I8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5" s="2" t="s">
        <v>11</v>
      </c>
      <c r="K885" s="2" t="s">
        <v>16</v>
      </c>
    </row>
    <row r="886" spans="1:11" x14ac:dyDescent="0.2">
      <c r="A886" s="2" t="s">
        <v>1785</v>
      </c>
      <c r="B886" s="2" t="s">
        <v>1786</v>
      </c>
      <c r="C886" s="2" t="s">
        <v>19</v>
      </c>
      <c r="D886" s="3">
        <v>46163.638379629629</v>
      </c>
      <c r="E886" s="3">
        <v>46163.648101851853</v>
      </c>
      <c r="F886" s="9">
        <f>IF($K886="cancelled"," ",(quick_commerce_orders[[#This Row],[delivery_time]]-quick_commerce_orders[[#This Row],[order_time]])*1440)</f>
        <v>14.00000000372529</v>
      </c>
      <c r="G886" s="2">
        <v>778.91</v>
      </c>
      <c r="H886" s="2" t="str">
        <f>IF(quick_commerce_orders[[#This Row],[order_value]]&lt;500,"Low",IF(quick_commerce_orders[[#This Row],[order_value]]&gt;1500,"High","Moderate"))</f>
        <v>Moderate</v>
      </c>
      <c r="I8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6" s="2" t="s">
        <v>20</v>
      </c>
      <c r="K886" s="2" t="s">
        <v>16</v>
      </c>
    </row>
    <row r="887" spans="1:11" x14ac:dyDescent="0.2">
      <c r="A887" s="2" t="s">
        <v>1787</v>
      </c>
      <c r="B887" s="2" t="s">
        <v>1788</v>
      </c>
      <c r="C887" s="2" t="s">
        <v>27</v>
      </c>
      <c r="D887" s="3">
        <v>46146.504675925928</v>
      </c>
      <c r="E887" s="3">
        <v>46146.511620370373</v>
      </c>
      <c r="F887" s="9">
        <f>IF($K887="cancelled"," ",(quick_commerce_orders[[#This Row],[delivery_time]]-quick_commerce_orders[[#This Row],[order_time]])*1440)</f>
        <v>10.000000001164153</v>
      </c>
      <c r="G887" s="2">
        <v>562.39</v>
      </c>
      <c r="H887" s="2" t="str">
        <f>IF(quick_commerce_orders[[#This Row],[order_value]]&lt;500,"Low",IF(quick_commerce_orders[[#This Row],[order_value]]&gt;1500,"High","Moderate"))</f>
        <v>Moderate</v>
      </c>
      <c r="I8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7" s="2" t="s">
        <v>28</v>
      </c>
      <c r="K887" s="2" t="s">
        <v>16</v>
      </c>
    </row>
    <row r="888" spans="1:11" x14ac:dyDescent="0.2">
      <c r="A888" s="2" t="s">
        <v>1789</v>
      </c>
      <c r="B888" s="2" t="s">
        <v>1790</v>
      </c>
      <c r="C888" s="2" t="s">
        <v>27</v>
      </c>
      <c r="D888" s="3">
        <v>46153.051296296297</v>
      </c>
      <c r="E888" s="3">
        <v>46153.057546296295</v>
      </c>
      <c r="F888" s="9">
        <f>IF($K888="cancelled"," ",(quick_commerce_orders[[#This Row],[delivery_time]]-quick_commerce_orders[[#This Row],[order_time]])*1440)</f>
        <v>8.9999999979045242</v>
      </c>
      <c r="G888" s="2">
        <v>155.88</v>
      </c>
      <c r="H888" s="2" t="str">
        <f>IF(quick_commerce_orders[[#This Row],[order_value]]&lt;500,"Low",IF(quick_commerce_orders[[#This Row],[order_value]]&gt;1500,"High","Moderate"))</f>
        <v>Low</v>
      </c>
      <c r="I8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888" s="2" t="s">
        <v>15</v>
      </c>
      <c r="K888" s="2" t="s">
        <v>16</v>
      </c>
    </row>
    <row r="889" spans="1:11" x14ac:dyDescent="0.2">
      <c r="A889" s="2" t="s">
        <v>1791</v>
      </c>
      <c r="B889" s="2" t="s">
        <v>1792</v>
      </c>
      <c r="C889" s="2" t="s">
        <v>27</v>
      </c>
      <c r="D889" s="3">
        <v>46159.662268518521</v>
      </c>
      <c r="E889" s="3">
        <v>46159.674768518518</v>
      </c>
      <c r="F889" s="9">
        <f>IF($K889="cancelled"," ",(quick_commerce_orders[[#This Row],[delivery_time]]-quick_commerce_orders[[#This Row],[order_time]])*1440)</f>
        <v>17.999999995809048</v>
      </c>
      <c r="G889" s="2">
        <v>319.66000000000003</v>
      </c>
      <c r="H889" s="2" t="str">
        <f>IF(quick_commerce_orders[[#This Row],[order_value]]&lt;500,"Low",IF(quick_commerce_orders[[#This Row],[order_value]]&gt;1500,"High","Moderate"))</f>
        <v>Low</v>
      </c>
      <c r="I8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89" s="2" t="s">
        <v>20</v>
      </c>
      <c r="K889" s="2" t="s">
        <v>16</v>
      </c>
    </row>
    <row r="890" spans="1:11" x14ac:dyDescent="0.2">
      <c r="A890" s="2" t="s">
        <v>1793</v>
      </c>
      <c r="B890" s="2" t="s">
        <v>1794</v>
      </c>
      <c r="C890" s="2" t="s">
        <v>42</v>
      </c>
      <c r="D890" s="3">
        <v>46149.616215277776</v>
      </c>
      <c r="E890" s="3">
        <v>46149.630104166667</v>
      </c>
      <c r="F890" s="9">
        <f>IF($K890="cancelled"," ",(quick_commerce_orders[[#This Row],[delivery_time]]-quick_commerce_orders[[#This Row],[order_time]])*1440)</f>
        <v>20.000000002328306</v>
      </c>
      <c r="G890" s="2">
        <v>2351.41</v>
      </c>
      <c r="H890" s="2" t="str">
        <f>IF(quick_commerce_orders[[#This Row],[order_value]]&lt;500,"Low",IF(quick_commerce_orders[[#This Row],[order_value]]&gt;1500,"High","Moderate"))</f>
        <v>High</v>
      </c>
      <c r="I8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0" s="2" t="s">
        <v>80</v>
      </c>
      <c r="K890" s="2" t="s">
        <v>16</v>
      </c>
    </row>
    <row r="891" spans="1:11" x14ac:dyDescent="0.2">
      <c r="A891" s="2" t="s">
        <v>1795</v>
      </c>
      <c r="B891" s="2" t="s">
        <v>1796</v>
      </c>
      <c r="C891" s="2" t="s">
        <v>31</v>
      </c>
      <c r="D891" s="3">
        <v>46159.474710648145</v>
      </c>
      <c r="E891" s="3">
        <v>46159.480266203704</v>
      </c>
      <c r="F891" s="9">
        <f>IF($K891="cancelled"," ",(quick_commerce_orders[[#This Row],[delivery_time]]-quick_commerce_orders[[#This Row],[order_time]])*1440)</f>
        <v>8.0000000051222742</v>
      </c>
      <c r="G891" s="2">
        <v>1674.85</v>
      </c>
      <c r="H891" s="2" t="str">
        <f>IF(quick_commerce_orders[[#This Row],[order_value]]&lt;500,"Low",IF(quick_commerce_orders[[#This Row],[order_value]]&gt;1500,"High","Moderate"))</f>
        <v>High</v>
      </c>
      <c r="I8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91" s="2" t="s">
        <v>20</v>
      </c>
      <c r="K891" s="2" t="s">
        <v>16</v>
      </c>
    </row>
    <row r="892" spans="1:11" x14ac:dyDescent="0.2">
      <c r="A892" s="2" t="s">
        <v>1797</v>
      </c>
      <c r="B892" s="2" t="s">
        <v>1798</v>
      </c>
      <c r="C892" s="2" t="s">
        <v>34</v>
      </c>
      <c r="D892" s="3">
        <v>46159.459328703706</v>
      </c>
      <c r="E892" s="3">
        <v>46159.471828703703</v>
      </c>
      <c r="F892" s="9">
        <f>IF($K892="cancelled"," ",(quick_commerce_orders[[#This Row],[delivery_time]]-quick_commerce_orders[[#This Row],[order_time]])*1440)</f>
        <v>17.999999995809048</v>
      </c>
      <c r="G892" s="2">
        <v>2104.1</v>
      </c>
      <c r="H892" s="2" t="str">
        <f>IF(quick_commerce_orders[[#This Row],[order_value]]&lt;500,"Low",IF(quick_commerce_orders[[#This Row],[order_value]]&gt;1500,"High","Moderate"))</f>
        <v>High</v>
      </c>
      <c r="I8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92" s="2" t="s">
        <v>28</v>
      </c>
      <c r="K892" s="2" t="s">
        <v>16</v>
      </c>
    </row>
    <row r="893" spans="1:11" x14ac:dyDescent="0.2">
      <c r="A893" s="2" t="s">
        <v>1799</v>
      </c>
      <c r="B893" s="2" t="s">
        <v>1800</v>
      </c>
      <c r="C893" s="2" t="s">
        <v>34</v>
      </c>
      <c r="D893" s="3">
        <v>46150.497025462966</v>
      </c>
      <c r="E893" s="3">
        <v>46150.505358796298</v>
      </c>
      <c r="F893" s="9">
        <f>IF($K893="cancelled"," ",(quick_commerce_orders[[#This Row],[delivery_time]]-quick_commerce_orders[[#This Row],[order_time]])*1440)</f>
        <v>11.999999997206032</v>
      </c>
      <c r="G893" s="2">
        <v>2380.17</v>
      </c>
      <c r="H893" s="2" t="str">
        <f>IF(quick_commerce_orders[[#This Row],[order_value]]&lt;500,"Low",IF(quick_commerce_orders[[#This Row],[order_value]]&gt;1500,"High","Moderate"))</f>
        <v>High</v>
      </c>
      <c r="I8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3" s="2" t="s">
        <v>39</v>
      </c>
      <c r="K893" s="2" t="s">
        <v>16</v>
      </c>
    </row>
    <row r="894" spans="1:11" x14ac:dyDescent="0.2">
      <c r="A894" s="2" t="s">
        <v>1801</v>
      </c>
      <c r="B894" s="2" t="s">
        <v>1802</v>
      </c>
      <c r="C894" s="2" t="s">
        <v>42</v>
      </c>
      <c r="D894" s="3">
        <v>46155.77547453704</v>
      </c>
      <c r="E894" s="3">
        <v>46155.782418981478</v>
      </c>
      <c r="F894" s="9">
        <f>IF($K894="cancelled"," ",(quick_commerce_orders[[#This Row],[delivery_time]]-quick_commerce_orders[[#This Row],[order_time]])*1440)</f>
        <v>9.9999999906867743</v>
      </c>
      <c r="G894" s="2">
        <v>1630.4</v>
      </c>
      <c r="H894" s="2" t="str">
        <f>IF(quick_commerce_orders[[#This Row],[order_value]]&lt;500,"Low",IF(quick_commerce_orders[[#This Row],[order_value]]&gt;1500,"High","Moderate"))</f>
        <v>High</v>
      </c>
      <c r="I8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4" s="2" t="s">
        <v>20</v>
      </c>
      <c r="K894" s="2" t="s">
        <v>16</v>
      </c>
    </row>
    <row r="895" spans="1:11" x14ac:dyDescent="0.2">
      <c r="A895" s="2" t="s">
        <v>1803</v>
      </c>
      <c r="B895" s="2" t="s">
        <v>1804</v>
      </c>
      <c r="C895" s="2" t="s">
        <v>42</v>
      </c>
      <c r="D895" s="3">
        <v>46154.390509259261</v>
      </c>
      <c r="E895" s="3">
        <v>46154.400925925926</v>
      </c>
      <c r="F895" s="9">
        <f>IF($K895="cancelled"," ",(quick_commerce_orders[[#This Row],[delivery_time]]-quick_commerce_orders[[#This Row],[order_time]])*1440)</f>
        <v>14.99999999650754</v>
      </c>
      <c r="G895" s="2">
        <v>1798.38</v>
      </c>
      <c r="H895" s="2" t="str">
        <f>IF(quick_commerce_orders[[#This Row],[order_value]]&lt;500,"Low",IF(quick_commerce_orders[[#This Row],[order_value]]&gt;1500,"High","Moderate"))</f>
        <v>High</v>
      </c>
      <c r="I8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895" s="2" t="s">
        <v>11</v>
      </c>
      <c r="K895" s="2" t="s">
        <v>16</v>
      </c>
    </row>
    <row r="896" spans="1:11" x14ac:dyDescent="0.2">
      <c r="A896" s="2" t="s">
        <v>1805</v>
      </c>
      <c r="B896" s="2" t="s">
        <v>1806</v>
      </c>
      <c r="C896" s="2" t="s">
        <v>31</v>
      </c>
      <c r="D896" s="3">
        <v>46174.978425925925</v>
      </c>
      <c r="E896" s="3">
        <v>46175.011064814818</v>
      </c>
      <c r="F896" s="9">
        <f>IF($K896="cancelled"," ",(quick_commerce_orders[[#This Row],[delivery_time]]-quick_commerce_orders[[#This Row],[order_time]])*1440)</f>
        <v>47.000000006519258</v>
      </c>
      <c r="G896" s="2">
        <v>386.95</v>
      </c>
      <c r="H896" s="2" t="str">
        <f>IF(quick_commerce_orders[[#This Row],[order_value]]&lt;500,"Low",IF(quick_commerce_orders[[#This Row],[order_value]]&gt;1500,"High","Moderate"))</f>
        <v>Low</v>
      </c>
      <c r="I8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6" s="2" t="s">
        <v>80</v>
      </c>
      <c r="K896" s="2" t="s">
        <v>12</v>
      </c>
    </row>
    <row r="897" spans="1:11" x14ac:dyDescent="0.2">
      <c r="A897" s="2" t="s">
        <v>1807</v>
      </c>
      <c r="B897" s="2" t="s">
        <v>1808</v>
      </c>
      <c r="C897" s="2" t="s">
        <v>31</v>
      </c>
      <c r="D897" s="3">
        <v>46148.527291666665</v>
      </c>
      <c r="E897" s="3">
        <v>46148.534236111111</v>
      </c>
      <c r="F897" s="9">
        <f>IF($K897="cancelled"," ",(quick_commerce_orders[[#This Row],[delivery_time]]-quick_commerce_orders[[#This Row],[order_time]])*1440)</f>
        <v>10.000000001164153</v>
      </c>
      <c r="G897" s="2">
        <v>2154.46</v>
      </c>
      <c r="H897" s="2" t="str">
        <f>IF(quick_commerce_orders[[#This Row],[order_value]]&lt;500,"Low",IF(quick_commerce_orders[[#This Row],[order_value]]&gt;1500,"High","Moderate"))</f>
        <v>High</v>
      </c>
      <c r="I8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7" s="2" t="s">
        <v>28</v>
      </c>
      <c r="K897" s="2" t="s">
        <v>16</v>
      </c>
    </row>
    <row r="898" spans="1:11" x14ac:dyDescent="0.2">
      <c r="A898" s="2" t="s">
        <v>1809</v>
      </c>
      <c r="B898" s="2" t="s">
        <v>1810</v>
      </c>
      <c r="C898" s="2" t="s">
        <v>42</v>
      </c>
      <c r="D898" s="3">
        <v>46172.840219907404</v>
      </c>
      <c r="E898" s="3"/>
      <c r="F898" s="9" t="str">
        <f>IF($K898="cancelled"," ",(quick_commerce_orders[[#This Row],[delivery_time]]-quick_commerce_orders[[#This Row],[order_time]])*1440)</f>
        <v xml:space="preserve"> </v>
      </c>
      <c r="G898" s="2">
        <v>410.78</v>
      </c>
      <c r="H898" s="2" t="str">
        <f>IF(quick_commerce_orders[[#This Row],[order_value]]&lt;500,"Low",IF(quick_commerce_orders[[#This Row],[order_value]]&gt;1500,"High","Moderate"))</f>
        <v>Low</v>
      </c>
      <c r="I8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8" s="2" t="s">
        <v>39</v>
      </c>
      <c r="K898" s="2" t="s">
        <v>58</v>
      </c>
    </row>
    <row r="899" spans="1:11" x14ac:dyDescent="0.2">
      <c r="A899" s="2" t="s">
        <v>1811</v>
      </c>
      <c r="B899" s="2" t="s">
        <v>1812</v>
      </c>
      <c r="C899" s="2" t="s">
        <v>19</v>
      </c>
      <c r="D899" s="3">
        <v>46153.869432870371</v>
      </c>
      <c r="E899" s="3">
        <v>46153.877071759256</v>
      </c>
      <c r="F899" s="9">
        <f>IF($K899="cancelled"," ",(quick_commerce_orders[[#This Row],[delivery_time]]-quick_commerce_orders[[#This Row],[order_time]])*1440)</f>
        <v>10.999999993946403</v>
      </c>
      <c r="G899" s="2">
        <v>1674.35</v>
      </c>
      <c r="H899" s="2" t="str">
        <f>IF(quick_commerce_orders[[#This Row],[order_value]]&lt;500,"Low",IF(quick_commerce_orders[[#This Row],[order_value]]&gt;1500,"High","Moderate"))</f>
        <v>High</v>
      </c>
      <c r="I8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899" s="2" t="s">
        <v>11</v>
      </c>
      <c r="K899" s="2" t="s">
        <v>16</v>
      </c>
    </row>
    <row r="900" spans="1:11" x14ac:dyDescent="0.2">
      <c r="A900" s="2" t="s">
        <v>1813</v>
      </c>
      <c r="B900" s="2" t="s">
        <v>1814</v>
      </c>
      <c r="C900" s="2" t="s">
        <v>75</v>
      </c>
      <c r="D900" s="3">
        <v>46164.569895833331</v>
      </c>
      <c r="E900" s="3">
        <v>46164.583090277774</v>
      </c>
      <c r="F900" s="9">
        <f>IF($K900="cancelled"," ",(quick_commerce_orders[[#This Row],[delivery_time]]-quick_commerce_orders[[#This Row],[order_time]])*1440)</f>
        <v>18.999999999068677</v>
      </c>
      <c r="G900" s="2">
        <v>2258.75</v>
      </c>
      <c r="H900" s="2" t="str">
        <f>IF(quick_commerce_orders[[#This Row],[order_value]]&lt;500,"Low",IF(quick_commerce_orders[[#This Row],[order_value]]&gt;1500,"High","Moderate"))</f>
        <v>High</v>
      </c>
      <c r="I9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00" s="2" t="s">
        <v>20</v>
      </c>
      <c r="K900" s="2" t="s">
        <v>16</v>
      </c>
    </row>
    <row r="901" spans="1:11" x14ac:dyDescent="0.2">
      <c r="A901" s="2" t="s">
        <v>1815</v>
      </c>
      <c r="B901" s="2" t="s">
        <v>1816</v>
      </c>
      <c r="C901" s="2" t="s">
        <v>31</v>
      </c>
      <c r="D901" s="3">
        <v>46168.086921296293</v>
      </c>
      <c r="E901" s="3">
        <v>46168.092476851853</v>
      </c>
      <c r="F901" s="9">
        <f>IF($K901="cancelled"," ",(quick_commerce_orders[[#This Row],[delivery_time]]-quick_commerce_orders[[#This Row],[order_time]])*1440)</f>
        <v>8.0000000051222742</v>
      </c>
      <c r="G901" s="2">
        <v>1457.57</v>
      </c>
      <c r="H901" s="2" t="str">
        <f>IF(quick_commerce_orders[[#This Row],[order_value]]&lt;500,"Low",IF(quick_commerce_orders[[#This Row],[order_value]]&gt;1500,"High","Moderate"))</f>
        <v>Moderate</v>
      </c>
      <c r="I9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01" s="2" t="s">
        <v>11</v>
      </c>
      <c r="K901" s="2" t="s">
        <v>16</v>
      </c>
    </row>
    <row r="902" spans="1:11" x14ac:dyDescent="0.2">
      <c r="A902" s="2" t="s">
        <v>1817</v>
      </c>
      <c r="B902" s="2" t="s">
        <v>1818</v>
      </c>
      <c r="C902" s="2" t="s">
        <v>34</v>
      </c>
      <c r="D902" s="3">
        <v>46164.305787037039</v>
      </c>
      <c r="E902" s="3">
        <v>46164.318287037036</v>
      </c>
      <c r="F902" s="9">
        <f>IF($K902="cancelled"," ",(quick_commerce_orders[[#This Row],[delivery_time]]-quick_commerce_orders[[#This Row],[order_time]])*1440)</f>
        <v>17.999999995809048</v>
      </c>
      <c r="G902" s="2">
        <v>2420.1999999999998</v>
      </c>
      <c r="H902" s="2" t="str">
        <f>IF(quick_commerce_orders[[#This Row],[order_value]]&lt;500,"Low",IF(quick_commerce_orders[[#This Row],[order_value]]&gt;1500,"High","Moderate"))</f>
        <v>High</v>
      </c>
      <c r="I9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02" s="2" t="s">
        <v>39</v>
      </c>
      <c r="K902" s="2" t="s">
        <v>16</v>
      </c>
    </row>
    <row r="903" spans="1:11" x14ac:dyDescent="0.2">
      <c r="A903" s="2" t="s">
        <v>1819</v>
      </c>
      <c r="B903" s="2" t="s">
        <v>1820</v>
      </c>
      <c r="C903" s="2" t="s">
        <v>75</v>
      </c>
      <c r="D903" s="3">
        <v>46161.928912037038</v>
      </c>
      <c r="E903" s="3">
        <v>46161.940023148149</v>
      </c>
      <c r="F903" s="9">
        <f>IF($K903="cancelled"," ",(quick_commerce_orders[[#This Row],[delivery_time]]-quick_commerce_orders[[#This Row],[order_time]])*1440)</f>
        <v>15.999999999767169</v>
      </c>
      <c r="G903" s="2">
        <v>2249.4</v>
      </c>
      <c r="H903" s="2" t="str">
        <f>IF(quick_commerce_orders[[#This Row],[order_value]]&lt;500,"Low",IF(quick_commerce_orders[[#This Row],[order_value]]&gt;1500,"High","Moderate"))</f>
        <v>High</v>
      </c>
      <c r="I9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03" s="2" t="s">
        <v>20</v>
      </c>
      <c r="K903" s="2" t="s">
        <v>16</v>
      </c>
    </row>
    <row r="904" spans="1:11" x14ac:dyDescent="0.2">
      <c r="A904" s="2" t="s">
        <v>1821</v>
      </c>
      <c r="B904" s="2" t="s">
        <v>1822</v>
      </c>
      <c r="C904" s="2" t="s">
        <v>34</v>
      </c>
      <c r="D904" s="3">
        <v>46168.372546296298</v>
      </c>
      <c r="E904" s="3">
        <v>46168.398935185185</v>
      </c>
      <c r="F904" s="9">
        <f>IF($K904="cancelled"," ",(quick_commerce_orders[[#This Row],[delivery_time]]-quick_commerce_orders[[#This Row],[order_time]])*1440)</f>
        <v>37.999999998137355</v>
      </c>
      <c r="G904" s="2">
        <v>1768.57</v>
      </c>
      <c r="H904" s="2" t="str">
        <f>IF(quick_commerce_orders[[#This Row],[order_value]]&lt;500,"Low",IF(quick_commerce_orders[[#This Row],[order_value]]&gt;1500,"High","Moderate"))</f>
        <v>High</v>
      </c>
      <c r="I90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04" s="2" t="s">
        <v>20</v>
      </c>
      <c r="K904" s="2" t="s">
        <v>12</v>
      </c>
    </row>
    <row r="905" spans="1:11" x14ac:dyDescent="0.2">
      <c r="A905" s="2" t="s">
        <v>1823</v>
      </c>
      <c r="B905" s="2" t="s">
        <v>1824</v>
      </c>
      <c r="C905" s="2" t="s">
        <v>27</v>
      </c>
      <c r="D905" s="3">
        <v>46166.984409722223</v>
      </c>
      <c r="E905" s="3">
        <v>46166.994826388887</v>
      </c>
      <c r="F905" s="9">
        <f>IF($K905="cancelled"," ",(quick_commerce_orders[[#This Row],[delivery_time]]-quick_commerce_orders[[#This Row],[order_time]])*1440)</f>
        <v>14.99999999650754</v>
      </c>
      <c r="G905" s="2">
        <v>707.01</v>
      </c>
      <c r="H905" s="2" t="str">
        <f>IF(quick_commerce_orders[[#This Row],[order_value]]&lt;500,"Low",IF(quick_commerce_orders[[#This Row],[order_value]]&gt;1500,"High","Moderate"))</f>
        <v>Moderate</v>
      </c>
      <c r="I90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05" s="2" t="s">
        <v>15</v>
      </c>
      <c r="K905" s="2" t="s">
        <v>16</v>
      </c>
    </row>
    <row r="906" spans="1:11" x14ac:dyDescent="0.2">
      <c r="A906" s="2" t="s">
        <v>1825</v>
      </c>
      <c r="B906" s="2" t="s">
        <v>1826</v>
      </c>
      <c r="C906" s="2" t="s">
        <v>31</v>
      </c>
      <c r="D906" s="3">
        <v>46171.548738425925</v>
      </c>
      <c r="E906" s="3">
        <v>46171.568182870367</v>
      </c>
      <c r="F906" s="9">
        <f>IF($K906="cancelled"," ",(quick_commerce_orders[[#This Row],[delivery_time]]-quick_commerce_orders[[#This Row],[order_time]])*1440)</f>
        <v>27.999999996973202</v>
      </c>
      <c r="G906" s="2">
        <v>1219.69</v>
      </c>
      <c r="H906" s="2" t="str">
        <f>IF(quick_commerce_orders[[#This Row],[order_value]]&lt;500,"Low",IF(quick_commerce_orders[[#This Row],[order_value]]&gt;1500,"High","Moderate"))</f>
        <v>Moderate</v>
      </c>
      <c r="I90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06" s="2" t="s">
        <v>11</v>
      </c>
      <c r="K906" s="2" t="s">
        <v>12</v>
      </c>
    </row>
    <row r="907" spans="1:11" x14ac:dyDescent="0.2">
      <c r="A907" s="2" t="s">
        <v>1827</v>
      </c>
      <c r="B907" s="2" t="s">
        <v>1828</v>
      </c>
      <c r="C907" s="2" t="s">
        <v>31</v>
      </c>
      <c r="D907" s="3">
        <v>46144.198784722219</v>
      </c>
      <c r="E907" s="3">
        <v>46144.211284722223</v>
      </c>
      <c r="F907" s="9">
        <f>IF($K907="cancelled"," ",(quick_commerce_orders[[#This Row],[delivery_time]]-quick_commerce_orders[[#This Row],[order_time]])*1440)</f>
        <v>18.000000006286427</v>
      </c>
      <c r="G907" s="2">
        <v>2345.84</v>
      </c>
      <c r="H907" s="2" t="str">
        <f>IF(quick_commerce_orders[[#This Row],[order_value]]&lt;500,"Low",IF(quick_commerce_orders[[#This Row],[order_value]]&gt;1500,"High","Moderate"))</f>
        <v>High</v>
      </c>
      <c r="I90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07" s="2" t="s">
        <v>11</v>
      </c>
      <c r="K907" s="2" t="s">
        <v>16</v>
      </c>
    </row>
    <row r="908" spans="1:11" x14ac:dyDescent="0.2">
      <c r="A908" s="2" t="s">
        <v>1829</v>
      </c>
      <c r="B908" s="2" t="s">
        <v>1830</v>
      </c>
      <c r="C908" s="2" t="s">
        <v>53</v>
      </c>
      <c r="D908" s="3">
        <v>46159.989432870374</v>
      </c>
      <c r="E908" s="3">
        <v>46160.003321759257</v>
      </c>
      <c r="F908" s="9">
        <f>IF($K908="cancelled"," ",(quick_commerce_orders[[#This Row],[delivery_time]]-quick_commerce_orders[[#This Row],[order_time]])*1440)</f>
        <v>19.999999991850927</v>
      </c>
      <c r="G908" s="2">
        <v>1632.07</v>
      </c>
      <c r="H908" s="2" t="str">
        <f>IF(quick_commerce_orders[[#This Row],[order_value]]&lt;500,"Low",IF(quick_commerce_orders[[#This Row],[order_value]]&gt;1500,"High","Moderate"))</f>
        <v>High</v>
      </c>
      <c r="I90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08" s="2" t="s">
        <v>39</v>
      </c>
      <c r="K908" s="2" t="s">
        <v>16</v>
      </c>
    </row>
    <row r="909" spans="1:11" x14ac:dyDescent="0.2">
      <c r="A909" s="2" t="s">
        <v>1831</v>
      </c>
      <c r="B909" s="2" t="s">
        <v>1832</v>
      </c>
      <c r="C909" s="2" t="s">
        <v>19</v>
      </c>
      <c r="D909" s="3">
        <v>46148.257233796299</v>
      </c>
      <c r="E909" s="3">
        <v>46148.26834490741</v>
      </c>
      <c r="F909" s="9">
        <f>IF($K909="cancelled"," ",(quick_commerce_orders[[#This Row],[delivery_time]]-quick_commerce_orders[[#This Row],[order_time]])*1440)</f>
        <v>15.999999999767169</v>
      </c>
      <c r="G909" s="2">
        <v>2313.4699999999998</v>
      </c>
      <c r="H909" s="2" t="str">
        <f>IF(quick_commerce_orders[[#This Row],[order_value]]&lt;500,"Low",IF(quick_commerce_orders[[#This Row],[order_value]]&gt;1500,"High","Moderate"))</f>
        <v>High</v>
      </c>
      <c r="I90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09" s="2" t="s">
        <v>39</v>
      </c>
      <c r="K909" s="2" t="s">
        <v>16</v>
      </c>
    </row>
    <row r="910" spans="1:11" x14ac:dyDescent="0.2">
      <c r="A910" s="2" t="s">
        <v>1833</v>
      </c>
      <c r="B910" s="2" t="s">
        <v>1834</v>
      </c>
      <c r="C910" s="2" t="s">
        <v>75</v>
      </c>
      <c r="D910" s="3">
        <v>46149.128460648149</v>
      </c>
      <c r="E910" s="3">
        <v>46149.149988425925</v>
      </c>
      <c r="F910" s="9">
        <f>IF($K910="cancelled"," ",(quick_commerce_orders[[#This Row],[delivery_time]]-quick_commerce_orders[[#This Row],[order_time]])*1440)</f>
        <v>30.99999999627471</v>
      </c>
      <c r="G910" s="2">
        <v>762.32</v>
      </c>
      <c r="H910" s="2" t="str">
        <f>IF(quick_commerce_orders[[#This Row],[order_value]]&lt;500,"Low",IF(quick_commerce_orders[[#This Row],[order_value]]&gt;1500,"High","Moderate"))</f>
        <v>Moderate</v>
      </c>
      <c r="I91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10" s="2" t="s">
        <v>28</v>
      </c>
      <c r="K910" s="2" t="s">
        <v>12</v>
      </c>
    </row>
    <row r="911" spans="1:11" x14ac:dyDescent="0.2">
      <c r="A911" s="2" t="s">
        <v>1835</v>
      </c>
      <c r="B911" s="2" t="s">
        <v>1836</v>
      </c>
      <c r="C911" s="2" t="s">
        <v>27</v>
      </c>
      <c r="D911" s="3">
        <v>46173.710428240738</v>
      </c>
      <c r="E911" s="3">
        <v>46173.720150462963</v>
      </c>
      <c r="F911" s="9">
        <f>IF($K911="cancelled"," ",(quick_commerce_orders[[#This Row],[delivery_time]]-quick_commerce_orders[[#This Row],[order_time]])*1440)</f>
        <v>14.00000000372529</v>
      </c>
      <c r="G911" s="2">
        <v>1123.76</v>
      </c>
      <c r="H911" s="2" t="str">
        <f>IF(quick_commerce_orders[[#This Row],[order_value]]&lt;500,"Low",IF(quick_commerce_orders[[#This Row],[order_value]]&gt;1500,"High","Moderate"))</f>
        <v>Moderate</v>
      </c>
      <c r="I91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11" s="2" t="s">
        <v>20</v>
      </c>
      <c r="K911" s="2" t="s">
        <v>16</v>
      </c>
    </row>
    <row r="912" spans="1:11" x14ac:dyDescent="0.2">
      <c r="A912" s="2" t="s">
        <v>1837</v>
      </c>
      <c r="B912" s="2" t="s">
        <v>1838</v>
      </c>
      <c r="C912" s="2" t="s">
        <v>34</v>
      </c>
      <c r="D912" s="3">
        <v>46168.700057870374</v>
      </c>
      <c r="E912" s="3">
        <v>46168.713252314818</v>
      </c>
      <c r="F912" s="9">
        <f>IF($K912="cancelled"," ",(quick_commerce_orders[[#This Row],[delivery_time]]-quick_commerce_orders[[#This Row],[order_time]])*1440)</f>
        <v>18.999999999068677</v>
      </c>
      <c r="G912" s="2">
        <v>2267.14</v>
      </c>
      <c r="H912" s="2" t="str">
        <f>IF(quick_commerce_orders[[#This Row],[order_value]]&lt;500,"Low",IF(quick_commerce_orders[[#This Row],[order_value]]&gt;1500,"High","Moderate"))</f>
        <v>High</v>
      </c>
      <c r="I91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12" s="2" t="s">
        <v>20</v>
      </c>
      <c r="K912" s="2" t="s">
        <v>16</v>
      </c>
    </row>
    <row r="913" spans="1:11" x14ac:dyDescent="0.2">
      <c r="A913" s="2" t="s">
        <v>1839</v>
      </c>
      <c r="B913" s="2" t="s">
        <v>1840</v>
      </c>
      <c r="C913" s="2" t="s">
        <v>75</v>
      </c>
      <c r="D913" s="3">
        <v>46149.360520833332</v>
      </c>
      <c r="E913" s="3">
        <v>46149.368854166663</v>
      </c>
      <c r="F913" s="9">
        <f>IF($K913="cancelled"," ",(quick_commerce_orders[[#This Row],[delivery_time]]-quick_commerce_orders[[#This Row],[order_time]])*1440)</f>
        <v>11.999999997206032</v>
      </c>
      <c r="G913" s="2">
        <v>1946.71</v>
      </c>
      <c r="H913" s="2" t="str">
        <f>IF(quick_commerce_orders[[#This Row],[order_value]]&lt;500,"Low",IF(quick_commerce_orders[[#This Row],[order_value]]&gt;1500,"High","Moderate"))</f>
        <v>High</v>
      </c>
      <c r="I91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13" s="2" t="s">
        <v>11</v>
      </c>
      <c r="K913" s="2" t="s">
        <v>16</v>
      </c>
    </row>
    <row r="914" spans="1:11" x14ac:dyDescent="0.2">
      <c r="A914" s="2" t="s">
        <v>1841</v>
      </c>
      <c r="B914" s="2" t="s">
        <v>1842</v>
      </c>
      <c r="C914" s="2" t="s">
        <v>10</v>
      </c>
      <c r="D914" s="3">
        <v>46148.8749537037</v>
      </c>
      <c r="E914" s="3">
        <v>46148.911759259259</v>
      </c>
      <c r="F914" s="9">
        <f>IF($K914="cancelled"," ",(quick_commerce_orders[[#This Row],[delivery_time]]-quick_commerce_orders[[#This Row],[order_time]])*1440)</f>
        <v>53.000000005122274</v>
      </c>
      <c r="G914" s="2">
        <v>875.17</v>
      </c>
      <c r="H914" s="2" t="str">
        <f>IF(quick_commerce_orders[[#This Row],[order_value]]&lt;500,"Low",IF(quick_commerce_orders[[#This Row],[order_value]]&gt;1500,"High","Moderate"))</f>
        <v>Moderate</v>
      </c>
      <c r="I91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14" s="2" t="s">
        <v>15</v>
      </c>
      <c r="K914" s="2" t="s">
        <v>12</v>
      </c>
    </row>
    <row r="915" spans="1:11" x14ac:dyDescent="0.2">
      <c r="A915" s="2" t="s">
        <v>1843</v>
      </c>
      <c r="B915" s="2" t="s">
        <v>1844</v>
      </c>
      <c r="C915" s="2" t="s">
        <v>27</v>
      </c>
      <c r="D915" s="3">
        <v>46167.384895833333</v>
      </c>
      <c r="E915" s="3">
        <v>46167.390451388892</v>
      </c>
      <c r="F915" s="9">
        <f>IF($K915="cancelled"," ",(quick_commerce_orders[[#This Row],[delivery_time]]-quick_commerce_orders[[#This Row],[order_time]])*1440)</f>
        <v>8.0000000051222742</v>
      </c>
      <c r="G915" s="2">
        <v>487.72</v>
      </c>
      <c r="H915" s="2" t="str">
        <f>IF(quick_commerce_orders[[#This Row],[order_value]]&lt;500,"Low",IF(quick_commerce_orders[[#This Row],[order_value]]&gt;1500,"High","Moderate"))</f>
        <v>Low</v>
      </c>
      <c r="I91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15" s="2" t="s">
        <v>39</v>
      </c>
      <c r="K915" s="2" t="s">
        <v>16</v>
      </c>
    </row>
    <row r="916" spans="1:11" x14ac:dyDescent="0.2">
      <c r="A916" s="2" t="s">
        <v>1845</v>
      </c>
      <c r="B916" s="2" t="s">
        <v>1846</v>
      </c>
      <c r="C916" s="2" t="s">
        <v>34</v>
      </c>
      <c r="D916" s="3">
        <v>46161.611203703702</v>
      </c>
      <c r="E916" s="3">
        <v>46161.62300925926</v>
      </c>
      <c r="F916" s="9">
        <f>IF($K916="cancelled"," ",(quick_commerce_orders[[#This Row],[delivery_time]]-quick_commerce_orders[[#This Row],[order_time]])*1440)</f>
        <v>17.000000003026798</v>
      </c>
      <c r="G916" s="2">
        <v>276.58999999999997</v>
      </c>
      <c r="H916" s="2" t="str">
        <f>IF(quick_commerce_orders[[#This Row],[order_value]]&lt;500,"Low",IF(quick_commerce_orders[[#This Row],[order_value]]&gt;1500,"High","Moderate"))</f>
        <v>Low</v>
      </c>
      <c r="I91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16" s="2" t="s">
        <v>11</v>
      </c>
      <c r="K916" s="2" t="s">
        <v>16</v>
      </c>
    </row>
    <row r="917" spans="1:11" x14ac:dyDescent="0.2">
      <c r="A917" s="2" t="s">
        <v>1847</v>
      </c>
      <c r="B917" s="2" t="s">
        <v>1848</v>
      </c>
      <c r="C917" s="2" t="s">
        <v>42</v>
      </c>
      <c r="D917" s="3">
        <v>46151.703587962962</v>
      </c>
      <c r="E917" s="3">
        <v>46151.709143518521</v>
      </c>
      <c r="F917" s="9">
        <f>IF($K917="cancelled"," ",(quick_commerce_orders[[#This Row],[delivery_time]]-quick_commerce_orders[[#This Row],[order_time]])*1440)</f>
        <v>8.0000000051222742</v>
      </c>
      <c r="G917" s="2">
        <v>1964.05</v>
      </c>
      <c r="H917" s="2" t="str">
        <f>IF(quick_commerce_orders[[#This Row],[order_value]]&lt;500,"Low",IF(quick_commerce_orders[[#This Row],[order_value]]&gt;1500,"High","Moderate"))</f>
        <v>High</v>
      </c>
      <c r="I91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17" s="2" t="s">
        <v>28</v>
      </c>
      <c r="K917" s="2" t="s">
        <v>16</v>
      </c>
    </row>
    <row r="918" spans="1:11" x14ac:dyDescent="0.2">
      <c r="A918" s="2" t="s">
        <v>1849</v>
      </c>
      <c r="B918" s="2" t="s">
        <v>1850</v>
      </c>
      <c r="C918" s="2" t="s">
        <v>19</v>
      </c>
      <c r="D918" s="3">
        <v>46144.071087962962</v>
      </c>
      <c r="E918" s="3">
        <v>46144.076643518521</v>
      </c>
      <c r="F918" s="9">
        <f>IF($K918="cancelled"," ",(quick_commerce_orders[[#This Row],[delivery_time]]-quick_commerce_orders[[#This Row],[order_time]])*1440)</f>
        <v>8.0000000051222742</v>
      </c>
      <c r="G918" s="2">
        <v>1017.72</v>
      </c>
      <c r="H918" s="2" t="str">
        <f>IF(quick_commerce_orders[[#This Row],[order_value]]&lt;500,"Low",IF(quick_commerce_orders[[#This Row],[order_value]]&gt;1500,"High","Moderate"))</f>
        <v>Moderate</v>
      </c>
      <c r="I91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18" s="2" t="s">
        <v>39</v>
      </c>
      <c r="K918" s="2" t="s">
        <v>16</v>
      </c>
    </row>
    <row r="919" spans="1:11" x14ac:dyDescent="0.2">
      <c r="A919" s="2" t="s">
        <v>1851</v>
      </c>
      <c r="B919" s="2" t="s">
        <v>1852</v>
      </c>
      <c r="C919" s="2" t="s">
        <v>42</v>
      </c>
      <c r="D919" s="3">
        <v>46163.645775462966</v>
      </c>
      <c r="E919" s="3">
        <v>46163.65966435185</v>
      </c>
      <c r="F919" s="9">
        <f>IF($K919="cancelled"," ",(quick_commerce_orders[[#This Row],[delivery_time]]-quick_commerce_orders[[#This Row],[order_time]])*1440)</f>
        <v>19.999999991850927</v>
      </c>
      <c r="G919" s="2">
        <v>897.37</v>
      </c>
      <c r="H919" s="2" t="str">
        <f>IF(quick_commerce_orders[[#This Row],[order_value]]&lt;500,"Low",IF(quick_commerce_orders[[#This Row],[order_value]]&gt;1500,"High","Moderate"))</f>
        <v>Moderate</v>
      </c>
      <c r="I91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19" s="2" t="s">
        <v>80</v>
      </c>
      <c r="K919" s="2" t="s">
        <v>16</v>
      </c>
    </row>
    <row r="920" spans="1:11" x14ac:dyDescent="0.2">
      <c r="A920" s="2" t="s">
        <v>1853</v>
      </c>
      <c r="B920" s="2" t="s">
        <v>1854</v>
      </c>
      <c r="C920" s="2" t="s">
        <v>10</v>
      </c>
      <c r="D920" s="3">
        <v>46160.727870370371</v>
      </c>
      <c r="E920" s="3">
        <v>46160.737592592595</v>
      </c>
      <c r="F920" s="9">
        <f>IF($K920="cancelled"," ",(quick_commerce_orders[[#This Row],[delivery_time]]-quick_commerce_orders[[#This Row],[order_time]])*1440)</f>
        <v>14.00000000372529</v>
      </c>
      <c r="G920" s="2">
        <v>243.14</v>
      </c>
      <c r="H920" s="2" t="str">
        <f>IF(quick_commerce_orders[[#This Row],[order_value]]&lt;500,"Low",IF(quick_commerce_orders[[#This Row],[order_value]]&gt;1500,"High","Moderate"))</f>
        <v>Low</v>
      </c>
      <c r="I92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20" s="2" t="s">
        <v>28</v>
      </c>
      <c r="K920" s="2" t="s">
        <v>16</v>
      </c>
    </row>
    <row r="921" spans="1:11" x14ac:dyDescent="0.2">
      <c r="A921" s="2" t="s">
        <v>1855</v>
      </c>
      <c r="B921" s="2" t="s">
        <v>1856</v>
      </c>
      <c r="C921" s="2" t="s">
        <v>27</v>
      </c>
      <c r="D921" s="3">
        <v>46154.776724537034</v>
      </c>
      <c r="E921" s="3">
        <v>46154.790613425925</v>
      </c>
      <c r="F921" s="9">
        <f>IF($K921="cancelled"," ",(quick_commerce_orders[[#This Row],[delivery_time]]-quick_commerce_orders[[#This Row],[order_time]])*1440)</f>
        <v>20.000000002328306</v>
      </c>
      <c r="G921" s="2">
        <v>2392.4499999999998</v>
      </c>
      <c r="H921" s="2" t="str">
        <f>IF(quick_commerce_orders[[#This Row],[order_value]]&lt;500,"Low",IF(quick_commerce_orders[[#This Row],[order_value]]&gt;1500,"High","Moderate"))</f>
        <v>High</v>
      </c>
      <c r="I92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21" s="2" t="s">
        <v>80</v>
      </c>
      <c r="K921" s="2" t="s">
        <v>16</v>
      </c>
    </row>
    <row r="922" spans="1:11" x14ac:dyDescent="0.2">
      <c r="A922" s="2" t="s">
        <v>1857</v>
      </c>
      <c r="B922" s="2" t="s">
        <v>1858</v>
      </c>
      <c r="C922" s="2" t="s">
        <v>53</v>
      </c>
      <c r="D922" s="3">
        <v>46170.694907407407</v>
      </c>
      <c r="E922" s="3">
        <v>46170.702546296299</v>
      </c>
      <c r="F922" s="9">
        <f>IF($K922="cancelled"," ",(quick_commerce_orders[[#This Row],[delivery_time]]-quick_commerce_orders[[#This Row],[order_time]])*1440)</f>
        <v>11.000000004423782</v>
      </c>
      <c r="G922" s="2">
        <v>734.2</v>
      </c>
      <c r="H922" s="2" t="str">
        <f>IF(quick_commerce_orders[[#This Row],[order_value]]&lt;500,"Low",IF(quick_commerce_orders[[#This Row],[order_value]]&gt;1500,"High","Moderate"))</f>
        <v>Moderate</v>
      </c>
      <c r="I92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22" s="2" t="s">
        <v>28</v>
      </c>
      <c r="K922" s="2" t="s">
        <v>16</v>
      </c>
    </row>
    <row r="923" spans="1:11" x14ac:dyDescent="0.2">
      <c r="A923" s="2" t="s">
        <v>1859</v>
      </c>
      <c r="B923" s="2" t="s">
        <v>1860</v>
      </c>
      <c r="C923" s="2" t="s">
        <v>10</v>
      </c>
      <c r="D923" s="3">
        <v>46162.479560185187</v>
      </c>
      <c r="E923" s="3">
        <v>46162.487199074072</v>
      </c>
      <c r="F923" s="9">
        <f>IF($K923="cancelled"," ",(quick_commerce_orders[[#This Row],[delivery_time]]-quick_commerce_orders[[#This Row],[order_time]])*1440)</f>
        <v>10.999999993946403</v>
      </c>
      <c r="G923" s="2">
        <v>1156.3800000000001</v>
      </c>
      <c r="H923" s="2" t="str">
        <f>IF(quick_commerce_orders[[#This Row],[order_value]]&lt;500,"Low",IF(quick_commerce_orders[[#This Row],[order_value]]&gt;1500,"High","Moderate"))</f>
        <v>Moderate</v>
      </c>
      <c r="I92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23" s="2" t="s">
        <v>15</v>
      </c>
      <c r="K923" s="2" t="s">
        <v>16</v>
      </c>
    </row>
    <row r="924" spans="1:11" x14ac:dyDescent="0.2">
      <c r="A924" s="2" t="s">
        <v>1861</v>
      </c>
      <c r="B924" s="2" t="s">
        <v>1862</v>
      </c>
      <c r="C924" s="2" t="s">
        <v>27</v>
      </c>
      <c r="D924" s="3">
        <v>46157.102997685186</v>
      </c>
      <c r="E924" s="3">
        <v>46157.112025462964</v>
      </c>
      <c r="F924" s="9">
        <f>IF($K924="cancelled"," ",(quick_commerce_orders[[#This Row],[delivery_time]]-quick_commerce_orders[[#This Row],[order_time]])*1440)</f>
        <v>13.000000000465661</v>
      </c>
      <c r="G924" s="2">
        <v>1279.1300000000001</v>
      </c>
      <c r="H924" s="2" t="str">
        <f>IF(quick_commerce_orders[[#This Row],[order_value]]&lt;500,"Low",IF(quick_commerce_orders[[#This Row],[order_value]]&gt;1500,"High","Moderate"))</f>
        <v>Moderate</v>
      </c>
      <c r="I92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24" s="2" t="s">
        <v>20</v>
      </c>
      <c r="K924" s="2" t="s">
        <v>16</v>
      </c>
    </row>
    <row r="925" spans="1:11" x14ac:dyDescent="0.2">
      <c r="A925" s="2" t="s">
        <v>1863</v>
      </c>
      <c r="B925" s="2" t="s">
        <v>1864</v>
      </c>
      <c r="C925" s="2" t="s">
        <v>34</v>
      </c>
      <c r="D925" s="3">
        <v>46166.552881944444</v>
      </c>
      <c r="E925" s="3">
        <v>46166.560520833336</v>
      </c>
      <c r="F925" s="9">
        <f>IF($K925="cancelled"," ",(quick_commerce_orders[[#This Row],[delivery_time]]-quick_commerce_orders[[#This Row],[order_time]])*1440)</f>
        <v>11.000000004423782</v>
      </c>
      <c r="G925" s="2">
        <v>2327.61</v>
      </c>
      <c r="H925" s="2" t="str">
        <f>IF(quick_commerce_orders[[#This Row],[order_value]]&lt;500,"Low",IF(quick_commerce_orders[[#This Row],[order_value]]&gt;1500,"High","Moderate"))</f>
        <v>High</v>
      </c>
      <c r="I92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25" s="2" t="s">
        <v>39</v>
      </c>
      <c r="K925" s="2" t="s">
        <v>16</v>
      </c>
    </row>
    <row r="926" spans="1:11" x14ac:dyDescent="0.2">
      <c r="A926" s="2" t="s">
        <v>1865</v>
      </c>
      <c r="B926" s="2" t="s">
        <v>1866</v>
      </c>
      <c r="C926" s="2" t="s">
        <v>31</v>
      </c>
      <c r="D926" s="3">
        <v>46162.000381944446</v>
      </c>
      <c r="E926" s="3">
        <v>46162.008020833331</v>
      </c>
      <c r="F926" s="9">
        <f>IF($K926="cancelled"," ",(quick_commerce_orders[[#This Row],[delivery_time]]-quick_commerce_orders[[#This Row],[order_time]])*1440)</f>
        <v>10.999999993946403</v>
      </c>
      <c r="G926" s="2">
        <v>1563.72</v>
      </c>
      <c r="H926" s="2" t="str">
        <f>IF(quick_commerce_orders[[#This Row],[order_value]]&lt;500,"Low",IF(quick_commerce_orders[[#This Row],[order_value]]&gt;1500,"High","Moderate"))</f>
        <v>High</v>
      </c>
      <c r="I92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26" s="2" t="s">
        <v>28</v>
      </c>
      <c r="K926" s="2" t="s">
        <v>16</v>
      </c>
    </row>
    <row r="927" spans="1:11" x14ac:dyDescent="0.2">
      <c r="A927" s="2" t="s">
        <v>1867</v>
      </c>
      <c r="B927" s="2" t="s">
        <v>1868</v>
      </c>
      <c r="C927" s="2" t="s">
        <v>19</v>
      </c>
      <c r="D927" s="3">
        <v>46151.471180555556</v>
      </c>
      <c r="E927" s="3">
        <v>46151.477430555555</v>
      </c>
      <c r="F927" s="9">
        <f>IF($K927="cancelled"," ",(quick_commerce_orders[[#This Row],[delivery_time]]-quick_commerce_orders[[#This Row],[order_time]])*1440)</f>
        <v>8.9999999979045242</v>
      </c>
      <c r="G927" s="2">
        <v>527.26</v>
      </c>
      <c r="H927" s="2" t="str">
        <f>IF(quick_commerce_orders[[#This Row],[order_value]]&lt;500,"Low",IF(quick_commerce_orders[[#This Row],[order_value]]&gt;1500,"High","Moderate"))</f>
        <v>Moderate</v>
      </c>
      <c r="I92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27" s="2" t="s">
        <v>20</v>
      </c>
      <c r="K927" s="2" t="s">
        <v>16</v>
      </c>
    </row>
    <row r="928" spans="1:11" x14ac:dyDescent="0.2">
      <c r="A928" s="2" t="s">
        <v>1869</v>
      </c>
      <c r="B928" s="2" t="s">
        <v>1870</v>
      </c>
      <c r="C928" s="2" t="s">
        <v>42</v>
      </c>
      <c r="D928" s="3">
        <v>46143.957997685182</v>
      </c>
      <c r="E928" s="3">
        <v>46143.963553240741</v>
      </c>
      <c r="F928" s="9">
        <f>IF($K928="cancelled"," ",(quick_commerce_orders[[#This Row],[delivery_time]]-quick_commerce_orders[[#This Row],[order_time]])*1440)</f>
        <v>8.0000000051222742</v>
      </c>
      <c r="G928" s="2">
        <v>1279.94</v>
      </c>
      <c r="H928" s="2" t="str">
        <f>IF(quick_commerce_orders[[#This Row],[order_value]]&lt;500,"Low",IF(quick_commerce_orders[[#This Row],[order_value]]&gt;1500,"High","Moderate"))</f>
        <v>Moderate</v>
      </c>
      <c r="I92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28" s="2" t="s">
        <v>11</v>
      </c>
      <c r="K928" s="2" t="s">
        <v>16</v>
      </c>
    </row>
    <row r="929" spans="1:11" x14ac:dyDescent="0.2">
      <c r="A929" s="2" t="s">
        <v>1871</v>
      </c>
      <c r="B929" s="2" t="s">
        <v>1872</v>
      </c>
      <c r="C929" s="2" t="s">
        <v>19</v>
      </c>
      <c r="D929" s="3">
        <v>46173.375567129631</v>
      </c>
      <c r="E929" s="3">
        <v>46173.385289351849</v>
      </c>
      <c r="F929" s="9">
        <f>IF($K929="cancelled"," ",(quick_commerce_orders[[#This Row],[delivery_time]]-quick_commerce_orders[[#This Row],[order_time]])*1440)</f>
        <v>13.999999993247911</v>
      </c>
      <c r="G929" s="2">
        <v>444.29</v>
      </c>
      <c r="H929" s="2" t="str">
        <f>IF(quick_commerce_orders[[#This Row],[order_value]]&lt;500,"Low",IF(quick_commerce_orders[[#This Row],[order_value]]&gt;1500,"High","Moderate"))</f>
        <v>Low</v>
      </c>
      <c r="I92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29" s="2" t="s">
        <v>20</v>
      </c>
      <c r="K929" s="2" t="s">
        <v>16</v>
      </c>
    </row>
    <row r="930" spans="1:11" x14ac:dyDescent="0.2">
      <c r="A930" s="2" t="s">
        <v>1873</v>
      </c>
      <c r="B930" s="2" t="s">
        <v>1874</v>
      </c>
      <c r="C930" s="2" t="s">
        <v>10</v>
      </c>
      <c r="D930" s="3">
        <v>46170.401550925926</v>
      </c>
      <c r="E930" s="3">
        <v>46170.407106481478</v>
      </c>
      <c r="F930" s="9">
        <f>IF($K930="cancelled"," ",(quick_commerce_orders[[#This Row],[delivery_time]]-quick_commerce_orders[[#This Row],[order_time]])*1440)</f>
        <v>7.9999999946448952</v>
      </c>
      <c r="G930" s="2">
        <v>1943.9</v>
      </c>
      <c r="H930" s="2" t="str">
        <f>IF(quick_commerce_orders[[#This Row],[order_value]]&lt;500,"Low",IF(quick_commerce_orders[[#This Row],[order_value]]&gt;1500,"High","Moderate"))</f>
        <v>High</v>
      </c>
      <c r="I93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30" s="2" t="s">
        <v>80</v>
      </c>
      <c r="K930" s="2" t="s">
        <v>16</v>
      </c>
    </row>
    <row r="931" spans="1:11" x14ac:dyDescent="0.2">
      <c r="A931" s="2" t="s">
        <v>1875</v>
      </c>
      <c r="B931" s="2" t="s">
        <v>1876</v>
      </c>
      <c r="C931" s="2" t="s">
        <v>19</v>
      </c>
      <c r="D931" s="3">
        <v>46143.724444444444</v>
      </c>
      <c r="E931" s="3">
        <v>46143.73</v>
      </c>
      <c r="F931" s="9">
        <f>IF($K931="cancelled"," ",(quick_commerce_orders[[#This Row],[delivery_time]]-quick_commerce_orders[[#This Row],[order_time]])*1440)</f>
        <v>8.0000000051222742</v>
      </c>
      <c r="G931" s="2">
        <v>623.13</v>
      </c>
      <c r="H931" s="2" t="str">
        <f>IF(quick_commerce_orders[[#This Row],[order_value]]&lt;500,"Low",IF(quick_commerce_orders[[#This Row],[order_value]]&gt;1500,"High","Moderate"))</f>
        <v>Moderate</v>
      </c>
      <c r="I93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1" s="2" t="s">
        <v>11</v>
      </c>
      <c r="K931" s="2" t="s">
        <v>16</v>
      </c>
    </row>
    <row r="932" spans="1:11" x14ac:dyDescent="0.2">
      <c r="A932" s="2" t="s">
        <v>1877</v>
      </c>
      <c r="B932" s="2" t="s">
        <v>1878</v>
      </c>
      <c r="C932" s="2" t="s">
        <v>34</v>
      </c>
      <c r="D932" s="3">
        <v>46169.727372685185</v>
      </c>
      <c r="E932" s="3">
        <v>46169.736400462964</v>
      </c>
      <c r="F932" s="9">
        <f>IF($K932="cancelled"," ",(quick_commerce_orders[[#This Row],[delivery_time]]-quick_commerce_orders[[#This Row],[order_time]])*1440)</f>
        <v>13.000000000465661</v>
      </c>
      <c r="G932" s="2">
        <v>1643.01</v>
      </c>
      <c r="H932" s="2" t="str">
        <f>IF(quick_commerce_orders[[#This Row],[order_value]]&lt;500,"Low",IF(quick_commerce_orders[[#This Row],[order_value]]&gt;1500,"High","Moderate"))</f>
        <v>High</v>
      </c>
      <c r="I93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2" s="2" t="s">
        <v>15</v>
      </c>
      <c r="K932" s="2" t="s">
        <v>16</v>
      </c>
    </row>
    <row r="933" spans="1:11" x14ac:dyDescent="0.2">
      <c r="A933" s="2" t="s">
        <v>1879</v>
      </c>
      <c r="B933" s="2" t="s">
        <v>1880</v>
      </c>
      <c r="C933" s="2" t="s">
        <v>27</v>
      </c>
      <c r="D933" s="3">
        <v>46158.240127314813</v>
      </c>
      <c r="E933" s="3">
        <v>46158.247766203705</v>
      </c>
      <c r="F933" s="9">
        <f>IF($K933="cancelled"," ",(quick_commerce_orders[[#This Row],[delivery_time]]-quick_commerce_orders[[#This Row],[order_time]])*1440)</f>
        <v>11.000000004423782</v>
      </c>
      <c r="G933" s="2">
        <v>2289.2600000000002</v>
      </c>
      <c r="H933" s="2" t="str">
        <f>IF(quick_commerce_orders[[#This Row],[order_value]]&lt;500,"Low",IF(quick_commerce_orders[[#This Row],[order_value]]&gt;1500,"High","Moderate"))</f>
        <v>High</v>
      </c>
      <c r="I93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33" s="2" t="s">
        <v>15</v>
      </c>
      <c r="K933" s="2" t="s">
        <v>16</v>
      </c>
    </row>
    <row r="934" spans="1:11" x14ac:dyDescent="0.2">
      <c r="A934" s="2" t="s">
        <v>1881</v>
      </c>
      <c r="B934" s="2" t="s">
        <v>1882</v>
      </c>
      <c r="C934" s="2" t="s">
        <v>42</v>
      </c>
      <c r="D934" s="3">
        <v>46167.50990740741</v>
      </c>
      <c r="E934" s="3">
        <v>46167.522407407407</v>
      </c>
      <c r="F934" s="9">
        <f>IF($K934="cancelled"," ",(quick_commerce_orders[[#This Row],[delivery_time]]-quick_commerce_orders[[#This Row],[order_time]])*1440)</f>
        <v>17.999999995809048</v>
      </c>
      <c r="G934" s="2">
        <v>1815.96</v>
      </c>
      <c r="H934" s="2" t="str">
        <f>IF(quick_commerce_orders[[#This Row],[order_value]]&lt;500,"Low",IF(quick_commerce_orders[[#This Row],[order_value]]&gt;1500,"High","Moderate"))</f>
        <v>High</v>
      </c>
      <c r="I93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4" s="2" t="s">
        <v>80</v>
      </c>
      <c r="K934" s="2" t="s">
        <v>16</v>
      </c>
    </row>
    <row r="935" spans="1:11" x14ac:dyDescent="0.2">
      <c r="A935" s="2" t="s">
        <v>1883</v>
      </c>
      <c r="B935" s="2" t="s">
        <v>1884</v>
      </c>
      <c r="C935" s="2" t="s">
        <v>10</v>
      </c>
      <c r="D935" s="3">
        <v>46148.569618055553</v>
      </c>
      <c r="E935" s="3">
        <v>46148.589756944442</v>
      </c>
      <c r="F935" s="9">
        <f>IF($K935="cancelled"," ",(quick_commerce_orders[[#This Row],[delivery_time]]-quick_commerce_orders[[#This Row],[order_time]])*1440)</f>
        <v>29.000000000232831</v>
      </c>
      <c r="G935" s="2">
        <v>346.89</v>
      </c>
      <c r="H935" s="2" t="str">
        <f>IF(quick_commerce_orders[[#This Row],[order_value]]&lt;500,"Low",IF(quick_commerce_orders[[#This Row],[order_value]]&gt;1500,"High","Moderate"))</f>
        <v>Low</v>
      </c>
      <c r="I93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5" s="2" t="s">
        <v>11</v>
      </c>
      <c r="K935" s="2" t="s">
        <v>12</v>
      </c>
    </row>
    <row r="936" spans="1:11" x14ac:dyDescent="0.2">
      <c r="A936" s="2" t="s">
        <v>1885</v>
      </c>
      <c r="B936" s="2" t="s">
        <v>1886</v>
      </c>
      <c r="C936" s="2" t="s">
        <v>31</v>
      </c>
      <c r="D936" s="3">
        <v>46160.404016203705</v>
      </c>
      <c r="E936" s="3">
        <v>46160.41165509259</v>
      </c>
      <c r="F936" s="9">
        <f>IF($K936="cancelled"," ",(quick_commerce_orders[[#This Row],[delivery_time]]-quick_commerce_orders[[#This Row],[order_time]])*1440)</f>
        <v>10.999999993946403</v>
      </c>
      <c r="G936" s="2">
        <v>274.01</v>
      </c>
      <c r="H936" s="2" t="str">
        <f>IF(quick_commerce_orders[[#This Row],[order_value]]&lt;500,"Low",IF(quick_commerce_orders[[#This Row],[order_value]]&gt;1500,"High","Moderate"))</f>
        <v>Low</v>
      </c>
      <c r="I93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36" s="2" t="s">
        <v>20</v>
      </c>
      <c r="K936" s="2" t="s">
        <v>16</v>
      </c>
    </row>
    <row r="937" spans="1:11" x14ac:dyDescent="0.2">
      <c r="A937" s="2" t="s">
        <v>1887</v>
      </c>
      <c r="B937" s="2" t="s">
        <v>1888</v>
      </c>
      <c r="C937" s="2" t="s">
        <v>34</v>
      </c>
      <c r="D937" s="3">
        <v>46160.550625000003</v>
      </c>
      <c r="E937" s="3">
        <v>46160.556875000002</v>
      </c>
      <c r="F937" s="9">
        <f>IF($K937="cancelled"," ",(quick_commerce_orders[[#This Row],[delivery_time]]-quick_commerce_orders[[#This Row],[order_time]])*1440)</f>
        <v>8.9999999979045242</v>
      </c>
      <c r="G937" s="2">
        <v>1470.23</v>
      </c>
      <c r="H937" s="2" t="str">
        <f>IF(quick_commerce_orders[[#This Row],[order_value]]&lt;500,"Low",IF(quick_commerce_orders[[#This Row],[order_value]]&gt;1500,"High","Moderate"))</f>
        <v>Moderate</v>
      </c>
      <c r="I93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7" s="2" t="s">
        <v>80</v>
      </c>
      <c r="K937" s="2" t="s">
        <v>16</v>
      </c>
    </row>
    <row r="938" spans="1:11" x14ac:dyDescent="0.2">
      <c r="A938" s="2" t="s">
        <v>1889</v>
      </c>
      <c r="B938" s="2" t="s">
        <v>1890</v>
      </c>
      <c r="C938" s="2" t="s">
        <v>19</v>
      </c>
      <c r="D938" s="3">
        <v>46147.214097222219</v>
      </c>
      <c r="E938" s="3">
        <v>46147.227986111109</v>
      </c>
      <c r="F938" s="9">
        <f>IF($K938="cancelled"," ",(quick_commerce_orders[[#This Row],[delivery_time]]-quick_commerce_orders[[#This Row],[order_time]])*1440)</f>
        <v>20.000000002328306</v>
      </c>
      <c r="G938" s="2">
        <v>700.43</v>
      </c>
      <c r="H938" s="2" t="str">
        <f>IF(quick_commerce_orders[[#This Row],[order_value]]&lt;500,"Low",IF(quick_commerce_orders[[#This Row],[order_value]]&gt;1500,"High","Moderate"))</f>
        <v>Moderate</v>
      </c>
      <c r="I93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38" s="2" t="s">
        <v>20</v>
      </c>
      <c r="K938" s="2" t="s">
        <v>16</v>
      </c>
    </row>
    <row r="939" spans="1:11" x14ac:dyDescent="0.2">
      <c r="A939" s="2" t="s">
        <v>1891</v>
      </c>
      <c r="B939" s="2" t="s">
        <v>1892</v>
      </c>
      <c r="C939" s="2" t="s">
        <v>31</v>
      </c>
      <c r="D939" s="3">
        <v>46150.85392361111</v>
      </c>
      <c r="E939" s="3">
        <v>46150.866423611114</v>
      </c>
      <c r="F939" s="9">
        <f>IF($K939="cancelled"," ",(quick_commerce_orders[[#This Row],[delivery_time]]-quick_commerce_orders[[#This Row],[order_time]])*1440)</f>
        <v>18.000000006286427</v>
      </c>
      <c r="G939" s="2">
        <v>1169.1199999999999</v>
      </c>
      <c r="H939" s="2" t="str">
        <f>IF(quick_commerce_orders[[#This Row],[order_value]]&lt;500,"Low",IF(quick_commerce_orders[[#This Row],[order_value]]&gt;1500,"High","Moderate"))</f>
        <v>Moderate</v>
      </c>
      <c r="I93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39" s="2" t="s">
        <v>11</v>
      </c>
      <c r="K939" s="2" t="s">
        <v>16</v>
      </c>
    </row>
    <row r="940" spans="1:11" x14ac:dyDescent="0.2">
      <c r="A940" s="2" t="s">
        <v>1893</v>
      </c>
      <c r="B940" s="2" t="s">
        <v>1894</v>
      </c>
      <c r="C940" s="2" t="s">
        <v>42</v>
      </c>
      <c r="D940" s="3">
        <v>46171.364340277774</v>
      </c>
      <c r="E940" s="3">
        <v>46171.37128472222</v>
      </c>
      <c r="F940" s="9">
        <f>IF($K940="cancelled"," ",(quick_commerce_orders[[#This Row],[delivery_time]]-quick_commerce_orders[[#This Row],[order_time]])*1440)</f>
        <v>10.000000001164153</v>
      </c>
      <c r="G940" s="2">
        <v>2250.63</v>
      </c>
      <c r="H940" s="2" t="str">
        <f>IF(quick_commerce_orders[[#This Row],[order_value]]&lt;500,"Low",IF(quick_commerce_orders[[#This Row],[order_value]]&gt;1500,"High","Moderate"))</f>
        <v>High</v>
      </c>
      <c r="I94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40" s="2" t="s">
        <v>15</v>
      </c>
      <c r="K940" s="2" t="s">
        <v>16</v>
      </c>
    </row>
    <row r="941" spans="1:11" x14ac:dyDescent="0.2">
      <c r="A941" s="2" t="s">
        <v>1895</v>
      </c>
      <c r="B941" s="2" t="s">
        <v>1896</v>
      </c>
      <c r="C941" s="2" t="s">
        <v>34</v>
      </c>
      <c r="D941" s="3">
        <v>46174.26390046296</v>
      </c>
      <c r="E941" s="3">
        <v>46174.277094907404</v>
      </c>
      <c r="F941" s="9">
        <f>IF($K941="cancelled"," ",(quick_commerce_orders[[#This Row],[delivery_time]]-quick_commerce_orders[[#This Row],[order_time]])*1440)</f>
        <v>18.999999999068677</v>
      </c>
      <c r="G941" s="2">
        <v>456.25</v>
      </c>
      <c r="H941" s="2" t="str">
        <f>IF(quick_commerce_orders[[#This Row],[order_value]]&lt;500,"Low",IF(quick_commerce_orders[[#This Row],[order_value]]&gt;1500,"High","Moderate"))</f>
        <v>Low</v>
      </c>
      <c r="I94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41" s="2" t="s">
        <v>20</v>
      </c>
      <c r="K941" s="2" t="s">
        <v>16</v>
      </c>
    </row>
    <row r="942" spans="1:11" x14ac:dyDescent="0.2">
      <c r="A942" s="2" t="s">
        <v>1897</v>
      </c>
      <c r="B942" s="2" t="s">
        <v>1898</v>
      </c>
      <c r="C942" s="2" t="s">
        <v>31</v>
      </c>
      <c r="D942" s="3">
        <v>46152.065289351849</v>
      </c>
      <c r="E942" s="3">
        <v>46152.072233796294</v>
      </c>
      <c r="F942" s="9">
        <f>IF($K942="cancelled"," ",(quick_commerce_orders[[#This Row],[delivery_time]]-quick_commerce_orders[[#This Row],[order_time]])*1440)</f>
        <v>10.000000001164153</v>
      </c>
      <c r="G942" s="2">
        <v>1635.8</v>
      </c>
      <c r="H942" s="2" t="str">
        <f>IF(quick_commerce_orders[[#This Row],[order_value]]&lt;500,"Low",IF(quick_commerce_orders[[#This Row],[order_value]]&gt;1500,"High","Moderate"))</f>
        <v>High</v>
      </c>
      <c r="I94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42" s="2" t="s">
        <v>20</v>
      </c>
      <c r="K942" s="2" t="s">
        <v>16</v>
      </c>
    </row>
    <row r="943" spans="1:11" x14ac:dyDescent="0.2">
      <c r="A943" s="2" t="s">
        <v>1899</v>
      </c>
      <c r="B943" s="2" t="s">
        <v>1900</v>
      </c>
      <c r="C943" s="2" t="s">
        <v>31</v>
      </c>
      <c r="D943" s="3">
        <v>46154.137696759259</v>
      </c>
      <c r="E943" s="3">
        <v>46154.143252314818</v>
      </c>
      <c r="F943" s="9">
        <f>IF($K943="cancelled"," ",(quick_commerce_orders[[#This Row],[delivery_time]]-quick_commerce_orders[[#This Row],[order_time]])*1440)</f>
        <v>8.0000000051222742</v>
      </c>
      <c r="G943" s="2">
        <v>2337.94</v>
      </c>
      <c r="H943" s="2" t="str">
        <f>IF(quick_commerce_orders[[#This Row],[order_value]]&lt;500,"Low",IF(quick_commerce_orders[[#This Row],[order_value]]&gt;1500,"High","Moderate"))</f>
        <v>High</v>
      </c>
      <c r="I94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43" s="2" t="s">
        <v>15</v>
      </c>
      <c r="K943" s="2" t="s">
        <v>16</v>
      </c>
    </row>
    <row r="944" spans="1:11" x14ac:dyDescent="0.2">
      <c r="A944" s="2" t="s">
        <v>1901</v>
      </c>
      <c r="B944" s="2" t="s">
        <v>1902</v>
      </c>
      <c r="C944" s="2" t="s">
        <v>75</v>
      </c>
      <c r="D944" s="3">
        <v>46151.936643518522</v>
      </c>
      <c r="E944" s="3">
        <v>46151.94636574074</v>
      </c>
      <c r="F944" s="9">
        <f>IF($K944="cancelled"," ",(quick_commerce_orders[[#This Row],[delivery_time]]-quick_commerce_orders[[#This Row],[order_time]])*1440)</f>
        <v>13.999999993247911</v>
      </c>
      <c r="G944" s="2">
        <v>1694.05</v>
      </c>
      <c r="H944" s="2" t="str">
        <f>IF(quick_commerce_orders[[#This Row],[order_value]]&lt;500,"Low",IF(quick_commerce_orders[[#This Row],[order_value]]&gt;1500,"High","Moderate"))</f>
        <v>High</v>
      </c>
      <c r="I94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44" s="2" t="s">
        <v>80</v>
      </c>
      <c r="K944" s="2" t="s">
        <v>16</v>
      </c>
    </row>
    <row r="945" spans="1:11" x14ac:dyDescent="0.2">
      <c r="A945" s="2" t="s">
        <v>1903</v>
      </c>
      <c r="B945" s="2" t="s">
        <v>1904</v>
      </c>
      <c r="C945" s="2" t="s">
        <v>34</v>
      </c>
      <c r="D945" s="3">
        <v>46143.295243055552</v>
      </c>
      <c r="E945" s="3">
        <v>46143.306354166663</v>
      </c>
      <c r="F945" s="9">
        <f>IF($K945="cancelled"," ",(quick_commerce_orders[[#This Row],[delivery_time]]-quick_commerce_orders[[#This Row],[order_time]])*1440)</f>
        <v>15.999999999767169</v>
      </c>
      <c r="G945" s="2">
        <v>738.45</v>
      </c>
      <c r="H945" s="2" t="str">
        <f>IF(quick_commerce_orders[[#This Row],[order_value]]&lt;500,"Low",IF(quick_commerce_orders[[#This Row],[order_value]]&gt;1500,"High","Moderate"))</f>
        <v>Moderate</v>
      </c>
      <c r="I94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45" s="2" t="s">
        <v>28</v>
      </c>
      <c r="K945" s="2" t="s">
        <v>16</v>
      </c>
    </row>
    <row r="946" spans="1:11" x14ac:dyDescent="0.2">
      <c r="A946" s="2" t="s">
        <v>1905</v>
      </c>
      <c r="B946" s="2" t="s">
        <v>1906</v>
      </c>
      <c r="C946" s="2" t="s">
        <v>10</v>
      </c>
      <c r="D946" s="3">
        <v>46143.634270833332</v>
      </c>
      <c r="E946" s="3">
        <v>46143.640520833331</v>
      </c>
      <c r="F946" s="9">
        <f>IF($K946="cancelled"," ",(quick_commerce_orders[[#This Row],[delivery_time]]-quick_commerce_orders[[#This Row],[order_time]])*1440)</f>
        <v>8.9999999979045242</v>
      </c>
      <c r="G946" s="2">
        <v>1779.13</v>
      </c>
      <c r="H946" s="2" t="str">
        <f>IF(quick_commerce_orders[[#This Row],[order_value]]&lt;500,"Low",IF(quick_commerce_orders[[#This Row],[order_value]]&gt;1500,"High","Moderate"))</f>
        <v>High</v>
      </c>
      <c r="I94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46" s="2" t="s">
        <v>20</v>
      </c>
      <c r="K946" s="2" t="s">
        <v>16</v>
      </c>
    </row>
    <row r="947" spans="1:11" x14ac:dyDescent="0.2">
      <c r="A947" s="2" t="s">
        <v>1907</v>
      </c>
      <c r="B947" s="2" t="s">
        <v>1908</v>
      </c>
      <c r="C947" s="2" t="s">
        <v>10</v>
      </c>
      <c r="D947" s="3">
        <v>46169.410312499997</v>
      </c>
      <c r="E947" s="3">
        <v>46169.419340277775</v>
      </c>
      <c r="F947" s="9">
        <f>IF($K947="cancelled"," ",(quick_commerce_orders[[#This Row],[delivery_time]]-quick_commerce_orders[[#This Row],[order_time]])*1440)</f>
        <v>13.000000000465661</v>
      </c>
      <c r="G947" s="2">
        <v>2270.08</v>
      </c>
      <c r="H947" s="2" t="str">
        <f>IF(quick_commerce_orders[[#This Row],[order_value]]&lt;500,"Low",IF(quick_commerce_orders[[#This Row],[order_value]]&gt;1500,"High","Moderate"))</f>
        <v>High</v>
      </c>
      <c r="I94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47" s="2" t="s">
        <v>39</v>
      </c>
      <c r="K947" s="2" t="s">
        <v>16</v>
      </c>
    </row>
    <row r="948" spans="1:11" x14ac:dyDescent="0.2">
      <c r="A948" s="2" t="s">
        <v>1909</v>
      </c>
      <c r="B948" s="2" t="s">
        <v>1910</v>
      </c>
      <c r="C948" s="2" t="s">
        <v>75</v>
      </c>
      <c r="D948" s="3">
        <v>46174.478981481479</v>
      </c>
      <c r="E948" s="3">
        <v>46174.488009259258</v>
      </c>
      <c r="F948" s="9">
        <f>IF($K948="cancelled"," ",(quick_commerce_orders[[#This Row],[delivery_time]]-quick_commerce_orders[[#This Row],[order_time]])*1440)</f>
        <v>13.000000000465661</v>
      </c>
      <c r="G948" s="2">
        <v>1478.14</v>
      </c>
      <c r="H948" s="2" t="str">
        <f>IF(quick_commerce_orders[[#This Row],[order_value]]&lt;500,"Low",IF(quick_commerce_orders[[#This Row],[order_value]]&gt;1500,"High","Moderate"))</f>
        <v>Moderate</v>
      </c>
      <c r="I94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48" s="2" t="s">
        <v>39</v>
      </c>
      <c r="K948" s="2" t="s">
        <v>16</v>
      </c>
    </row>
    <row r="949" spans="1:11" x14ac:dyDescent="0.2">
      <c r="A949" s="2" t="s">
        <v>1911</v>
      </c>
      <c r="B949" s="2" t="s">
        <v>1912</v>
      </c>
      <c r="C949" s="2" t="s">
        <v>75</v>
      </c>
      <c r="D949" s="3">
        <v>46145.420752314814</v>
      </c>
      <c r="E949" s="3">
        <v>46145.431863425925</v>
      </c>
      <c r="F949" s="9">
        <f>IF($K949="cancelled"," ",(quick_commerce_orders[[#This Row],[delivery_time]]-quick_commerce_orders[[#This Row],[order_time]])*1440)</f>
        <v>15.999999999767169</v>
      </c>
      <c r="G949" s="2">
        <v>1335.92</v>
      </c>
      <c r="H949" s="2" t="str">
        <f>IF(quick_commerce_orders[[#This Row],[order_value]]&lt;500,"Low",IF(quick_commerce_orders[[#This Row],[order_value]]&gt;1500,"High","Moderate"))</f>
        <v>Moderate</v>
      </c>
      <c r="I94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49" s="2" t="s">
        <v>80</v>
      </c>
      <c r="K949" s="2" t="s">
        <v>16</v>
      </c>
    </row>
    <row r="950" spans="1:11" x14ac:dyDescent="0.2">
      <c r="A950" s="2" t="s">
        <v>1913</v>
      </c>
      <c r="B950" s="2" t="s">
        <v>1914</v>
      </c>
      <c r="C950" s="2" t="s">
        <v>10</v>
      </c>
      <c r="D950" s="3">
        <v>46152.054039351853</v>
      </c>
      <c r="E950" s="3">
        <v>46152.079733796294</v>
      </c>
      <c r="F950" s="9">
        <f>IF($K950="cancelled"," ",(quick_commerce_orders[[#This Row],[delivery_time]]-quick_commerce_orders[[#This Row],[order_time]])*1440)</f>
        <v>36.999999994877726</v>
      </c>
      <c r="G950" s="2">
        <v>2354.79</v>
      </c>
      <c r="H950" s="2" t="str">
        <f>IF(quick_commerce_orders[[#This Row],[order_value]]&lt;500,"Low",IF(quick_commerce_orders[[#This Row],[order_value]]&gt;1500,"High","Moderate"))</f>
        <v>High</v>
      </c>
      <c r="I95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50" s="2" t="s">
        <v>20</v>
      </c>
      <c r="K950" s="2" t="s">
        <v>12</v>
      </c>
    </row>
    <row r="951" spans="1:11" x14ac:dyDescent="0.2">
      <c r="A951" s="2" t="s">
        <v>1915</v>
      </c>
      <c r="B951" s="2" t="s">
        <v>1916</v>
      </c>
      <c r="C951" s="2" t="s">
        <v>75</v>
      </c>
      <c r="D951" s="3">
        <v>46168.107291666667</v>
      </c>
      <c r="E951" s="3">
        <v>46168.119097222225</v>
      </c>
      <c r="F951" s="9">
        <f>IF($K951="cancelled"," ",(quick_commerce_orders[[#This Row],[delivery_time]]-quick_commerce_orders[[#This Row],[order_time]])*1440)</f>
        <v>17.000000003026798</v>
      </c>
      <c r="G951" s="2">
        <v>1276.6300000000001</v>
      </c>
      <c r="H951" s="2" t="str">
        <f>IF(quick_commerce_orders[[#This Row],[order_value]]&lt;500,"Low",IF(quick_commerce_orders[[#This Row],[order_value]]&gt;1500,"High","Moderate"))</f>
        <v>Moderate</v>
      </c>
      <c r="I95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51" s="2" t="s">
        <v>20</v>
      </c>
      <c r="K951" s="2" t="s">
        <v>16</v>
      </c>
    </row>
    <row r="952" spans="1:11" x14ac:dyDescent="0.2">
      <c r="A952" s="2" t="s">
        <v>1917</v>
      </c>
      <c r="B952" s="2" t="s">
        <v>1918</v>
      </c>
      <c r="C952" s="2" t="s">
        <v>75</v>
      </c>
      <c r="D952" s="3">
        <v>46154.290196759262</v>
      </c>
      <c r="E952" s="3"/>
      <c r="F952" s="9" t="str">
        <f>IF($K952="cancelled"," ",(quick_commerce_orders[[#This Row],[delivery_time]]-quick_commerce_orders[[#This Row],[order_time]])*1440)</f>
        <v xml:space="preserve"> </v>
      </c>
      <c r="G952" s="2">
        <v>1145.54</v>
      </c>
      <c r="H952" s="2" t="str">
        <f>IF(quick_commerce_orders[[#This Row],[order_value]]&lt;500,"Low",IF(quick_commerce_orders[[#This Row],[order_value]]&gt;1500,"High","Moderate"))</f>
        <v>Moderate</v>
      </c>
      <c r="I95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52" s="2" t="s">
        <v>28</v>
      </c>
      <c r="K952" s="2" t="s">
        <v>58</v>
      </c>
    </row>
    <row r="953" spans="1:11" x14ac:dyDescent="0.2">
      <c r="A953" s="2" t="s">
        <v>1919</v>
      </c>
      <c r="B953" s="2" t="s">
        <v>1920</v>
      </c>
      <c r="C953" s="2" t="s">
        <v>10</v>
      </c>
      <c r="D953" s="3">
        <v>46159.536805555559</v>
      </c>
      <c r="E953" s="3">
        <v>46159.544444444444</v>
      </c>
      <c r="F953" s="9">
        <f>IF($K953="cancelled"," ",(quick_commerce_orders[[#This Row],[delivery_time]]-quick_commerce_orders[[#This Row],[order_time]])*1440)</f>
        <v>10.999999993946403</v>
      </c>
      <c r="G953" s="2">
        <v>2124.7199999999998</v>
      </c>
      <c r="H953" s="2" t="str">
        <f>IF(quick_commerce_orders[[#This Row],[order_value]]&lt;500,"Low",IF(quick_commerce_orders[[#This Row],[order_value]]&gt;1500,"High","Moderate"))</f>
        <v>High</v>
      </c>
      <c r="I95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53" s="2" t="s">
        <v>11</v>
      </c>
      <c r="K953" s="2" t="s">
        <v>16</v>
      </c>
    </row>
    <row r="954" spans="1:11" x14ac:dyDescent="0.2">
      <c r="A954" s="2" t="s">
        <v>1921</v>
      </c>
      <c r="B954" s="2" t="s">
        <v>1922</v>
      </c>
      <c r="C954" s="2" t="s">
        <v>34</v>
      </c>
      <c r="D954" s="3">
        <v>46150.927361111113</v>
      </c>
      <c r="E954" s="3">
        <v>46150.938472222224</v>
      </c>
      <c r="F954" s="9">
        <f>IF($K954="cancelled"," ",(quick_commerce_orders[[#This Row],[delivery_time]]-quick_commerce_orders[[#This Row],[order_time]])*1440)</f>
        <v>15.999999999767169</v>
      </c>
      <c r="G954" s="2">
        <v>1973.25</v>
      </c>
      <c r="H954" s="2" t="str">
        <f>IF(quick_commerce_orders[[#This Row],[order_value]]&lt;500,"Low",IF(quick_commerce_orders[[#This Row],[order_value]]&gt;1500,"High","Moderate"))</f>
        <v>High</v>
      </c>
      <c r="I95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54" s="2" t="s">
        <v>28</v>
      </c>
      <c r="K954" s="2" t="s">
        <v>16</v>
      </c>
    </row>
    <row r="955" spans="1:11" x14ac:dyDescent="0.2">
      <c r="A955" s="2" t="s">
        <v>1923</v>
      </c>
      <c r="B955" s="2" t="s">
        <v>1924</v>
      </c>
      <c r="C955" s="2" t="s">
        <v>31</v>
      </c>
      <c r="D955" s="3">
        <v>46171.324328703704</v>
      </c>
      <c r="E955" s="3">
        <v>46171.334050925929</v>
      </c>
      <c r="F955" s="9">
        <f>IF($K955="cancelled"," ",(quick_commerce_orders[[#This Row],[delivery_time]]-quick_commerce_orders[[#This Row],[order_time]])*1440)</f>
        <v>14.00000000372529</v>
      </c>
      <c r="G955" s="2">
        <v>1983.92</v>
      </c>
      <c r="H955" s="2" t="str">
        <f>IF(quick_commerce_orders[[#This Row],[order_value]]&lt;500,"Low",IF(quick_commerce_orders[[#This Row],[order_value]]&gt;1500,"High","Moderate"))</f>
        <v>High</v>
      </c>
      <c r="I95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55" s="2" t="s">
        <v>39</v>
      </c>
      <c r="K955" s="2" t="s">
        <v>16</v>
      </c>
    </row>
    <row r="956" spans="1:11" x14ac:dyDescent="0.2">
      <c r="A956" s="2" t="s">
        <v>1925</v>
      </c>
      <c r="B956" s="2" t="s">
        <v>1926</v>
      </c>
      <c r="C956" s="2" t="s">
        <v>34</v>
      </c>
      <c r="D956" s="3">
        <v>46155.616539351853</v>
      </c>
      <c r="E956" s="3">
        <v>46155.626261574071</v>
      </c>
      <c r="F956" s="9">
        <f>IF($K956="cancelled"," ",(quick_commerce_orders[[#This Row],[delivery_time]]-quick_commerce_orders[[#This Row],[order_time]])*1440)</f>
        <v>13.999999993247911</v>
      </c>
      <c r="G956" s="2">
        <v>1395.31</v>
      </c>
      <c r="H956" s="2" t="str">
        <f>IF(quick_commerce_orders[[#This Row],[order_value]]&lt;500,"Low",IF(quick_commerce_orders[[#This Row],[order_value]]&gt;1500,"High","Moderate"))</f>
        <v>Moderate</v>
      </c>
      <c r="I95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56" s="2" t="s">
        <v>39</v>
      </c>
      <c r="K956" s="2" t="s">
        <v>16</v>
      </c>
    </row>
    <row r="957" spans="1:11" x14ac:dyDescent="0.2">
      <c r="A957" s="2" t="s">
        <v>1927</v>
      </c>
      <c r="B957" s="2" t="s">
        <v>1928</v>
      </c>
      <c r="C957" s="2" t="s">
        <v>31</v>
      </c>
      <c r="D957" s="3">
        <v>46149.695983796293</v>
      </c>
      <c r="E957" s="3">
        <v>46149.702233796299</v>
      </c>
      <c r="F957" s="9">
        <f>IF($K957="cancelled"," ",(quick_commerce_orders[[#This Row],[delivery_time]]-quick_commerce_orders[[#This Row],[order_time]])*1440)</f>
        <v>9.0000000083819032</v>
      </c>
      <c r="G957" s="2">
        <v>106.94</v>
      </c>
      <c r="H957" s="2" t="str">
        <f>IF(quick_commerce_orders[[#This Row],[order_value]]&lt;500,"Low",IF(quick_commerce_orders[[#This Row],[order_value]]&gt;1500,"High","Moderate"))</f>
        <v>Low</v>
      </c>
      <c r="I95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57" s="2" t="s">
        <v>11</v>
      </c>
      <c r="K957" s="2" t="s">
        <v>16</v>
      </c>
    </row>
    <row r="958" spans="1:11" x14ac:dyDescent="0.2">
      <c r="A958" s="2" t="s">
        <v>1929</v>
      </c>
      <c r="B958" s="2" t="s">
        <v>1930</v>
      </c>
      <c r="C958" s="2" t="s">
        <v>75</v>
      </c>
      <c r="D958" s="3">
        <v>46173.530081018522</v>
      </c>
      <c r="E958" s="3">
        <v>46173.537719907406</v>
      </c>
      <c r="F958" s="9">
        <f>IF($K958="cancelled"," ",(quick_commerce_orders[[#This Row],[delivery_time]]-quick_commerce_orders[[#This Row],[order_time]])*1440)</f>
        <v>10.999999993946403</v>
      </c>
      <c r="G958" s="2">
        <v>2388.9699999999998</v>
      </c>
      <c r="H958" s="2" t="str">
        <f>IF(quick_commerce_orders[[#This Row],[order_value]]&lt;500,"Low",IF(quick_commerce_orders[[#This Row],[order_value]]&gt;1500,"High","Moderate"))</f>
        <v>High</v>
      </c>
      <c r="I95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58" s="2" t="s">
        <v>39</v>
      </c>
      <c r="K958" s="2" t="s">
        <v>16</v>
      </c>
    </row>
    <row r="959" spans="1:11" x14ac:dyDescent="0.2">
      <c r="A959" s="2" t="s">
        <v>1931</v>
      </c>
      <c r="B959" s="2" t="s">
        <v>1932</v>
      </c>
      <c r="C959" s="2" t="s">
        <v>75</v>
      </c>
      <c r="D959" s="3">
        <v>46163.236643518518</v>
      </c>
      <c r="E959" s="3">
        <v>46163.24428240741</v>
      </c>
      <c r="F959" s="9">
        <f>IF($K959="cancelled"," ",(quick_commerce_orders[[#This Row],[delivery_time]]-quick_commerce_orders[[#This Row],[order_time]])*1440)</f>
        <v>11.000000004423782</v>
      </c>
      <c r="G959" s="2">
        <v>2062.14</v>
      </c>
      <c r="H959" s="2" t="str">
        <f>IF(quick_commerce_orders[[#This Row],[order_value]]&lt;500,"Low",IF(quick_commerce_orders[[#This Row],[order_value]]&gt;1500,"High","Moderate"))</f>
        <v>High</v>
      </c>
      <c r="I95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59" s="2" t="s">
        <v>39</v>
      </c>
      <c r="K959" s="2" t="s">
        <v>16</v>
      </c>
    </row>
    <row r="960" spans="1:11" x14ac:dyDescent="0.2">
      <c r="A960" s="2" t="s">
        <v>1933</v>
      </c>
      <c r="B960" s="2" t="s">
        <v>404</v>
      </c>
      <c r="C960" s="2" t="s">
        <v>53</v>
      </c>
      <c r="D960" s="3">
        <v>46145.999710648146</v>
      </c>
      <c r="E960" s="3">
        <v>46146.005960648145</v>
      </c>
      <c r="F960" s="9">
        <f>IF($K960="cancelled"," ",(quick_commerce_orders[[#This Row],[delivery_time]]-quick_commerce_orders[[#This Row],[order_time]])*1440)</f>
        <v>8.9999999979045242</v>
      </c>
      <c r="G960" s="2">
        <v>1255.96</v>
      </c>
      <c r="H960" s="2" t="str">
        <f>IF(quick_commerce_orders[[#This Row],[order_value]]&lt;500,"Low",IF(quick_commerce_orders[[#This Row],[order_value]]&gt;1500,"High","Moderate"))</f>
        <v>Moderate</v>
      </c>
      <c r="I96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60" s="2" t="s">
        <v>20</v>
      </c>
      <c r="K960" s="2" t="s">
        <v>16</v>
      </c>
    </row>
    <row r="961" spans="1:11" x14ac:dyDescent="0.2">
      <c r="A961" s="2" t="s">
        <v>1934</v>
      </c>
      <c r="B961" s="2" t="s">
        <v>1935</v>
      </c>
      <c r="C961" s="2" t="s">
        <v>19</v>
      </c>
      <c r="D961" s="3">
        <v>46150.354629629626</v>
      </c>
      <c r="E961" s="3">
        <v>46150.363657407404</v>
      </c>
      <c r="F961" s="9">
        <f>IF($K961="cancelled"," ",(quick_commerce_orders[[#This Row],[delivery_time]]-quick_commerce_orders[[#This Row],[order_time]])*1440)</f>
        <v>13.000000000465661</v>
      </c>
      <c r="G961" s="2">
        <v>1460.39</v>
      </c>
      <c r="H961" s="2" t="str">
        <f>IF(quick_commerce_orders[[#This Row],[order_value]]&lt;500,"Low",IF(quick_commerce_orders[[#This Row],[order_value]]&gt;1500,"High","Moderate"))</f>
        <v>Moderate</v>
      </c>
      <c r="I96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61" s="2" t="s">
        <v>11</v>
      </c>
      <c r="K961" s="2" t="s">
        <v>16</v>
      </c>
    </row>
    <row r="962" spans="1:11" x14ac:dyDescent="0.2">
      <c r="A962" s="2" t="s">
        <v>1936</v>
      </c>
      <c r="B962" s="2" t="s">
        <v>1937</v>
      </c>
      <c r="C962" s="2" t="s">
        <v>19</v>
      </c>
      <c r="D962" s="3">
        <v>46162.26662037037</v>
      </c>
      <c r="E962" s="3"/>
      <c r="F962" s="9" t="str">
        <f>IF($K962="cancelled"," ",(quick_commerce_orders[[#This Row],[delivery_time]]-quick_commerce_orders[[#This Row],[order_time]])*1440)</f>
        <v xml:space="preserve"> </v>
      </c>
      <c r="G962" s="2">
        <v>2343.1</v>
      </c>
      <c r="H962" s="2" t="str">
        <f>IF(quick_commerce_orders[[#This Row],[order_value]]&lt;500,"Low",IF(quick_commerce_orders[[#This Row],[order_value]]&gt;1500,"High","Moderate"))</f>
        <v>High</v>
      </c>
      <c r="I96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62" s="2" t="s">
        <v>39</v>
      </c>
      <c r="K962" s="2" t="s">
        <v>58</v>
      </c>
    </row>
    <row r="963" spans="1:11" x14ac:dyDescent="0.2">
      <c r="A963" s="2" t="s">
        <v>1938</v>
      </c>
      <c r="B963" s="2" t="s">
        <v>1939</v>
      </c>
      <c r="C963" s="2" t="s">
        <v>31</v>
      </c>
      <c r="D963" s="3">
        <v>46146.884108796294</v>
      </c>
      <c r="E963" s="3">
        <v>46146.893136574072</v>
      </c>
      <c r="F963" s="9">
        <f>IF($K963="cancelled"," ",(quick_commerce_orders[[#This Row],[delivery_time]]-quick_commerce_orders[[#This Row],[order_time]])*1440)</f>
        <v>13.000000000465661</v>
      </c>
      <c r="G963" s="2">
        <v>960.4</v>
      </c>
      <c r="H963" s="2" t="str">
        <f>IF(quick_commerce_orders[[#This Row],[order_value]]&lt;500,"Low",IF(quick_commerce_orders[[#This Row],[order_value]]&gt;1500,"High","Moderate"))</f>
        <v>Moderate</v>
      </c>
      <c r="I96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63" s="2" t="s">
        <v>28</v>
      </c>
      <c r="K963" s="2" t="s">
        <v>16</v>
      </c>
    </row>
    <row r="964" spans="1:11" x14ac:dyDescent="0.2">
      <c r="A964" s="2" t="s">
        <v>1940</v>
      </c>
      <c r="B964" s="2" t="s">
        <v>1941</v>
      </c>
      <c r="C964" s="2" t="s">
        <v>42</v>
      </c>
      <c r="D964" s="3">
        <v>46158.852314814816</v>
      </c>
      <c r="E964" s="3"/>
      <c r="F964" s="9" t="str">
        <f>IF($K964="cancelled"," ",(quick_commerce_orders[[#This Row],[delivery_time]]-quick_commerce_orders[[#This Row],[order_time]])*1440)</f>
        <v xml:space="preserve"> </v>
      </c>
      <c r="G964" s="2">
        <v>1735.41</v>
      </c>
      <c r="H964" s="2" t="str">
        <f>IF(quick_commerce_orders[[#This Row],[order_value]]&lt;500,"Low",IF(quick_commerce_orders[[#This Row],[order_value]]&gt;1500,"High","Moderate"))</f>
        <v>High</v>
      </c>
      <c r="I96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64" s="2" t="s">
        <v>20</v>
      </c>
      <c r="K964" s="2" t="s">
        <v>58</v>
      </c>
    </row>
    <row r="965" spans="1:11" x14ac:dyDescent="0.2">
      <c r="A965" s="2" t="s">
        <v>1942</v>
      </c>
      <c r="B965" s="2" t="s">
        <v>1943</v>
      </c>
      <c r="C965" s="2" t="s">
        <v>75</v>
      </c>
      <c r="D965" s="3">
        <v>46143.243252314816</v>
      </c>
      <c r="E965" s="3">
        <v>46143.250196759262</v>
      </c>
      <c r="F965" s="9">
        <f>IF($K965="cancelled"," ",(quick_commerce_orders[[#This Row],[delivery_time]]-quick_commerce_orders[[#This Row],[order_time]])*1440)</f>
        <v>10.000000001164153</v>
      </c>
      <c r="G965" s="2">
        <v>1060.48</v>
      </c>
      <c r="H965" s="2" t="str">
        <f>IF(quick_commerce_orders[[#This Row],[order_value]]&lt;500,"Low",IF(quick_commerce_orders[[#This Row],[order_value]]&gt;1500,"High","Moderate"))</f>
        <v>Moderate</v>
      </c>
      <c r="I96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65" s="2" t="s">
        <v>15</v>
      </c>
      <c r="K965" s="2" t="s">
        <v>16</v>
      </c>
    </row>
    <row r="966" spans="1:11" x14ac:dyDescent="0.2">
      <c r="A966" s="2" t="s">
        <v>1944</v>
      </c>
      <c r="B966" s="2" t="s">
        <v>1945</v>
      </c>
      <c r="C966" s="2" t="s">
        <v>27</v>
      </c>
      <c r="D966" s="3">
        <v>46150.534895833334</v>
      </c>
      <c r="E966" s="3">
        <v>46150.540451388886</v>
      </c>
      <c r="F966" s="9">
        <f>IF($K966="cancelled"," ",(quick_commerce_orders[[#This Row],[delivery_time]]-quick_commerce_orders[[#This Row],[order_time]])*1440)</f>
        <v>7.9999999946448952</v>
      </c>
      <c r="G966" s="2">
        <v>1616.45</v>
      </c>
      <c r="H966" s="2" t="str">
        <f>IF(quick_commerce_orders[[#This Row],[order_value]]&lt;500,"Low",IF(quick_commerce_orders[[#This Row],[order_value]]&gt;1500,"High","Moderate"))</f>
        <v>High</v>
      </c>
      <c r="I96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66" s="2" t="s">
        <v>11</v>
      </c>
      <c r="K966" s="2" t="s">
        <v>16</v>
      </c>
    </row>
    <row r="967" spans="1:11" x14ac:dyDescent="0.2">
      <c r="A967" s="2" t="s">
        <v>1946</v>
      </c>
      <c r="B967" s="2" t="s">
        <v>1947</v>
      </c>
      <c r="C967" s="2" t="s">
        <v>75</v>
      </c>
      <c r="D967" s="3">
        <v>46143.067939814813</v>
      </c>
      <c r="E967" s="3">
        <v>46143.077662037038</v>
      </c>
      <c r="F967" s="9">
        <f>IF($K967="cancelled"," ",(quick_commerce_orders[[#This Row],[delivery_time]]-quick_commerce_orders[[#This Row],[order_time]])*1440)</f>
        <v>14.00000000372529</v>
      </c>
      <c r="G967" s="2">
        <v>2400.1799999999998</v>
      </c>
      <c r="H967" s="2" t="str">
        <f>IF(quick_commerce_orders[[#This Row],[order_value]]&lt;500,"Low",IF(quick_commerce_orders[[#This Row],[order_value]]&gt;1500,"High","Moderate"))</f>
        <v>High</v>
      </c>
      <c r="I96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67" s="2" t="s">
        <v>80</v>
      </c>
      <c r="K967" s="2" t="s">
        <v>16</v>
      </c>
    </row>
    <row r="968" spans="1:11" x14ac:dyDescent="0.2">
      <c r="A968" s="2" t="s">
        <v>1948</v>
      </c>
      <c r="B968" s="2" t="s">
        <v>1949</v>
      </c>
      <c r="C968" s="2" t="s">
        <v>53</v>
      </c>
      <c r="D968" s="3">
        <v>46173.943159722221</v>
      </c>
      <c r="E968" s="3">
        <v>46173.974409722221</v>
      </c>
      <c r="F968" s="9">
        <f>IF($K968="cancelled"," ",(quick_commerce_orders[[#This Row],[delivery_time]]-quick_commerce_orders[[#This Row],[order_time]])*1440)</f>
        <v>45</v>
      </c>
      <c r="G968" s="2">
        <v>316.60000000000002</v>
      </c>
      <c r="H968" s="2" t="str">
        <f>IF(quick_commerce_orders[[#This Row],[order_value]]&lt;500,"Low",IF(quick_commerce_orders[[#This Row],[order_value]]&gt;1500,"High","Moderate"))</f>
        <v>Low</v>
      </c>
      <c r="I96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68" s="2" t="s">
        <v>28</v>
      </c>
      <c r="K968" s="2" t="s">
        <v>12</v>
      </c>
    </row>
    <row r="969" spans="1:11" x14ac:dyDescent="0.2">
      <c r="A969" s="2" t="s">
        <v>1950</v>
      </c>
      <c r="B969" s="2" t="s">
        <v>1951</v>
      </c>
      <c r="C969" s="2" t="s">
        <v>31</v>
      </c>
      <c r="D969" s="3">
        <v>46166.093865740739</v>
      </c>
      <c r="E969" s="3">
        <v>46166.099421296298</v>
      </c>
      <c r="F969" s="9">
        <f>IF($K969="cancelled"," ",(quick_commerce_orders[[#This Row],[delivery_time]]-quick_commerce_orders[[#This Row],[order_time]])*1440)</f>
        <v>8.0000000051222742</v>
      </c>
      <c r="G969" s="2">
        <v>1382.1</v>
      </c>
      <c r="H969" s="2" t="str">
        <f>IF(quick_commerce_orders[[#This Row],[order_value]]&lt;500,"Low",IF(quick_commerce_orders[[#This Row],[order_value]]&gt;1500,"High","Moderate"))</f>
        <v>Moderate</v>
      </c>
      <c r="I96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69" s="2" t="s">
        <v>80</v>
      </c>
      <c r="K969" s="2" t="s">
        <v>16</v>
      </c>
    </row>
    <row r="970" spans="1:11" x14ac:dyDescent="0.2">
      <c r="A970" s="2" t="s">
        <v>1952</v>
      </c>
      <c r="B970" s="2" t="s">
        <v>1953</v>
      </c>
      <c r="C970" s="2" t="s">
        <v>34</v>
      </c>
      <c r="D970" s="3">
        <v>46174.113645833335</v>
      </c>
      <c r="E970" s="3">
        <v>46174.123368055552</v>
      </c>
      <c r="F970" s="9">
        <f>IF($K970="cancelled"," ",(quick_commerce_orders[[#This Row],[delivery_time]]-quick_commerce_orders[[#This Row],[order_time]])*1440)</f>
        <v>13.999999993247911</v>
      </c>
      <c r="G970" s="2">
        <v>2405.2199999999998</v>
      </c>
      <c r="H970" s="2" t="str">
        <f>IF(quick_commerce_orders[[#This Row],[order_value]]&lt;500,"Low",IF(quick_commerce_orders[[#This Row],[order_value]]&gt;1500,"High","Moderate"))</f>
        <v>High</v>
      </c>
      <c r="I97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70" s="2" t="s">
        <v>15</v>
      </c>
      <c r="K970" s="2" t="s">
        <v>16</v>
      </c>
    </row>
    <row r="971" spans="1:11" x14ac:dyDescent="0.2">
      <c r="A971" s="2" t="s">
        <v>1954</v>
      </c>
      <c r="B971" s="2" t="s">
        <v>1955</v>
      </c>
      <c r="C971" s="2" t="s">
        <v>75</v>
      </c>
      <c r="D971" s="3">
        <v>46164.835451388892</v>
      </c>
      <c r="E971" s="3">
        <v>46164.843090277776</v>
      </c>
      <c r="F971" s="9">
        <f>IF($K971="cancelled"," ",(quick_commerce_orders[[#This Row],[delivery_time]]-quick_commerce_orders[[#This Row],[order_time]])*1440)</f>
        <v>10.999999993946403</v>
      </c>
      <c r="G971" s="2">
        <v>292.10000000000002</v>
      </c>
      <c r="H971" s="2" t="str">
        <f>IF(quick_commerce_orders[[#This Row],[order_value]]&lt;500,"Low",IF(quick_commerce_orders[[#This Row],[order_value]]&gt;1500,"High","Moderate"))</f>
        <v>Low</v>
      </c>
      <c r="I97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1" s="2" t="s">
        <v>15</v>
      </c>
      <c r="K971" s="2" t="s">
        <v>16</v>
      </c>
    </row>
    <row r="972" spans="1:11" x14ac:dyDescent="0.2">
      <c r="A972" s="2" t="s">
        <v>1956</v>
      </c>
      <c r="B972" s="2" t="s">
        <v>1957</v>
      </c>
      <c r="C972" s="2" t="s">
        <v>34</v>
      </c>
      <c r="D972" s="3">
        <v>46165.840092592596</v>
      </c>
      <c r="E972" s="3">
        <v>46165.877592592595</v>
      </c>
      <c r="F972" s="9">
        <f>IF($K972="cancelled"," ",(quick_commerce_orders[[#This Row],[delivery_time]]-quick_commerce_orders[[#This Row],[order_time]])*1440)</f>
        <v>53.999999997904524</v>
      </c>
      <c r="G972" s="2">
        <v>1202.1300000000001</v>
      </c>
      <c r="H972" s="2" t="str">
        <f>IF(quick_commerce_orders[[#This Row],[order_value]]&lt;500,"Low",IF(quick_commerce_orders[[#This Row],[order_value]]&gt;1500,"High","Moderate"))</f>
        <v>Moderate</v>
      </c>
      <c r="I97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2" s="2" t="s">
        <v>39</v>
      </c>
      <c r="K972" s="2" t="s">
        <v>12</v>
      </c>
    </row>
    <row r="973" spans="1:11" x14ac:dyDescent="0.2">
      <c r="A973" s="2" t="s">
        <v>1958</v>
      </c>
      <c r="B973" s="2" t="s">
        <v>1959</v>
      </c>
      <c r="C973" s="2" t="s">
        <v>10</v>
      </c>
      <c r="D973" s="3">
        <v>46149.188356481478</v>
      </c>
      <c r="E973" s="3">
        <v>46149.19599537037</v>
      </c>
      <c r="F973" s="9">
        <f>IF($K973="cancelled"," ",(quick_commerce_orders[[#This Row],[delivery_time]]-quick_commerce_orders[[#This Row],[order_time]])*1440)</f>
        <v>11.000000004423782</v>
      </c>
      <c r="G973" s="2">
        <v>1938.62</v>
      </c>
      <c r="H973" s="2" t="str">
        <f>IF(quick_commerce_orders[[#This Row],[order_value]]&lt;500,"Low",IF(quick_commerce_orders[[#This Row],[order_value]]&gt;1500,"High","Moderate"))</f>
        <v>High</v>
      </c>
      <c r="I97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73" s="2" t="s">
        <v>39</v>
      </c>
      <c r="K973" s="2" t="s">
        <v>16</v>
      </c>
    </row>
    <row r="974" spans="1:11" x14ac:dyDescent="0.2">
      <c r="A974" s="2" t="s">
        <v>1960</v>
      </c>
      <c r="B974" s="2" t="s">
        <v>1961</v>
      </c>
      <c r="C974" s="2" t="s">
        <v>10</v>
      </c>
      <c r="D974" s="3">
        <v>46163.743530092594</v>
      </c>
      <c r="E974" s="3"/>
      <c r="F974" s="9" t="str">
        <f>IF($K974="cancelled"," ",(quick_commerce_orders[[#This Row],[delivery_time]]-quick_commerce_orders[[#This Row],[order_time]])*1440)</f>
        <v xml:space="preserve"> </v>
      </c>
      <c r="G974" s="2">
        <v>1653.7</v>
      </c>
      <c r="H974" s="2" t="str">
        <f>IF(quick_commerce_orders[[#This Row],[order_value]]&lt;500,"Low",IF(quick_commerce_orders[[#This Row],[order_value]]&gt;1500,"High","Moderate"))</f>
        <v>High</v>
      </c>
      <c r="I97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4" s="2" t="s">
        <v>11</v>
      </c>
      <c r="K974" s="2" t="s">
        <v>58</v>
      </c>
    </row>
    <row r="975" spans="1:11" x14ac:dyDescent="0.2">
      <c r="A975" s="2" t="s">
        <v>1962</v>
      </c>
      <c r="B975" s="2" t="s">
        <v>1963</v>
      </c>
      <c r="C975" s="2" t="s">
        <v>75</v>
      </c>
      <c r="D975" s="3">
        <v>46165.615416666667</v>
      </c>
      <c r="E975" s="3">
        <v>46165.621666666666</v>
      </c>
      <c r="F975" s="9">
        <f>IF($K975="cancelled"," ",(quick_commerce_orders[[#This Row],[delivery_time]]-quick_commerce_orders[[#This Row],[order_time]])*1440)</f>
        <v>8.9999999979045242</v>
      </c>
      <c r="G975" s="2">
        <v>522.88</v>
      </c>
      <c r="H975" s="2" t="str">
        <f>IF(quick_commerce_orders[[#This Row],[order_value]]&lt;500,"Low",IF(quick_commerce_orders[[#This Row],[order_value]]&gt;1500,"High","Moderate"))</f>
        <v>Moderate</v>
      </c>
      <c r="I97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5" s="2" t="s">
        <v>15</v>
      </c>
      <c r="K975" s="2" t="s">
        <v>16</v>
      </c>
    </row>
    <row r="976" spans="1:11" x14ac:dyDescent="0.2">
      <c r="A976" s="2" t="s">
        <v>1964</v>
      </c>
      <c r="B976" s="2" t="s">
        <v>1965</v>
      </c>
      <c r="C976" s="2" t="s">
        <v>75</v>
      </c>
      <c r="D976" s="3">
        <v>46144.933587962965</v>
      </c>
      <c r="E976" s="3"/>
      <c r="F976" s="9" t="str">
        <f>IF($K976="cancelled"," ",(quick_commerce_orders[[#This Row],[delivery_time]]-quick_commerce_orders[[#This Row],[order_time]])*1440)</f>
        <v xml:space="preserve"> </v>
      </c>
      <c r="G976" s="2">
        <v>193.39</v>
      </c>
      <c r="H976" s="2" t="str">
        <f>IF(quick_commerce_orders[[#This Row],[order_value]]&lt;500,"Low",IF(quick_commerce_orders[[#This Row],[order_value]]&gt;1500,"High","Moderate"))</f>
        <v>Low</v>
      </c>
      <c r="I97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6" s="2" t="s">
        <v>20</v>
      </c>
      <c r="K976" s="2" t="s">
        <v>58</v>
      </c>
    </row>
    <row r="977" spans="1:11" x14ac:dyDescent="0.2">
      <c r="A977" s="2" t="s">
        <v>1966</v>
      </c>
      <c r="B977" s="2" t="s">
        <v>1967</v>
      </c>
      <c r="C977" s="2" t="s">
        <v>42</v>
      </c>
      <c r="D977" s="3">
        <v>46151.372939814813</v>
      </c>
      <c r="E977" s="3">
        <v>46151.385439814818</v>
      </c>
      <c r="F977" s="9">
        <f>IF($K977="cancelled"," ",(quick_commerce_orders[[#This Row],[delivery_time]]-quick_commerce_orders[[#This Row],[order_time]])*1440)</f>
        <v>18.000000006286427</v>
      </c>
      <c r="G977" s="2">
        <v>1020.99</v>
      </c>
      <c r="H977" s="2" t="str">
        <f>IF(quick_commerce_orders[[#This Row],[order_value]]&lt;500,"Low",IF(quick_commerce_orders[[#This Row],[order_value]]&gt;1500,"High","Moderate"))</f>
        <v>Moderate</v>
      </c>
      <c r="I97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77" s="2" t="s">
        <v>20</v>
      </c>
      <c r="K977" s="2" t="s">
        <v>16</v>
      </c>
    </row>
    <row r="978" spans="1:11" x14ac:dyDescent="0.2">
      <c r="A978" s="2" t="s">
        <v>1968</v>
      </c>
      <c r="B978" s="2" t="s">
        <v>1969</v>
      </c>
      <c r="C978" s="2" t="s">
        <v>53</v>
      </c>
      <c r="D978" s="3">
        <v>46174.936516203707</v>
      </c>
      <c r="E978" s="3">
        <v>46174.944849537038</v>
      </c>
      <c r="F978" s="9">
        <f>IF($K978="cancelled"," ",(quick_commerce_orders[[#This Row],[delivery_time]]-quick_commerce_orders[[#This Row],[order_time]])*1440)</f>
        <v>11.999999997206032</v>
      </c>
      <c r="G978" s="2">
        <v>557.41</v>
      </c>
      <c r="H978" s="2" t="str">
        <f>IF(quick_commerce_orders[[#This Row],[order_value]]&lt;500,"Low",IF(quick_commerce_orders[[#This Row],[order_value]]&gt;1500,"High","Moderate"))</f>
        <v>Moderate</v>
      </c>
      <c r="I97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8" s="2" t="s">
        <v>28</v>
      </c>
      <c r="K978" s="2" t="s">
        <v>16</v>
      </c>
    </row>
    <row r="979" spans="1:11" x14ac:dyDescent="0.2">
      <c r="A979" s="2" t="s">
        <v>1970</v>
      </c>
      <c r="B979" s="2" t="s">
        <v>1971</v>
      </c>
      <c r="C979" s="2" t="s">
        <v>10</v>
      </c>
      <c r="D979" s="3">
        <v>46161.739247685182</v>
      </c>
      <c r="E979" s="3">
        <v>46161.772581018522</v>
      </c>
      <c r="F979" s="9">
        <f>IF($K979="cancelled"," ",(quick_commerce_orders[[#This Row],[delivery_time]]-quick_commerce_orders[[#This Row],[order_time]])*1440)</f>
        <v>48.000000009778887</v>
      </c>
      <c r="G979" s="2">
        <v>1769.12</v>
      </c>
      <c r="H979" s="2" t="str">
        <f>IF(quick_commerce_orders[[#This Row],[order_value]]&lt;500,"Low",IF(quick_commerce_orders[[#This Row],[order_value]]&gt;1500,"High","Moderate"))</f>
        <v>High</v>
      </c>
      <c r="I97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79" s="2" t="s">
        <v>80</v>
      </c>
      <c r="K979" s="2" t="s">
        <v>12</v>
      </c>
    </row>
    <row r="980" spans="1:11" x14ac:dyDescent="0.2">
      <c r="A980" s="2" t="s">
        <v>1972</v>
      </c>
      <c r="B980" s="2" t="s">
        <v>1973</v>
      </c>
      <c r="C980" s="2" t="s">
        <v>10</v>
      </c>
      <c r="D980" s="3">
        <v>46155.758032407408</v>
      </c>
      <c r="E980" s="3">
        <v>46155.76358796296</v>
      </c>
      <c r="F980" s="9">
        <f>IF($K980="cancelled"," ",(quick_commerce_orders[[#This Row],[delivery_time]]-quick_commerce_orders[[#This Row],[order_time]])*1440)</f>
        <v>7.9999999946448952</v>
      </c>
      <c r="G980" s="2">
        <v>2250.5100000000002</v>
      </c>
      <c r="H980" s="2" t="str">
        <f>IF(quick_commerce_orders[[#This Row],[order_value]]&lt;500,"Low",IF(quick_commerce_orders[[#This Row],[order_value]]&gt;1500,"High","Moderate"))</f>
        <v>High</v>
      </c>
      <c r="I98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80" s="2" t="s">
        <v>11</v>
      </c>
      <c r="K980" s="2" t="s">
        <v>16</v>
      </c>
    </row>
    <row r="981" spans="1:11" x14ac:dyDescent="0.2">
      <c r="A981" s="2" t="s">
        <v>1974</v>
      </c>
      <c r="B981" s="2" t="s">
        <v>1975</v>
      </c>
      <c r="C981" s="2" t="s">
        <v>27</v>
      </c>
      <c r="D981" s="3">
        <v>46165.448946759258</v>
      </c>
      <c r="E981" s="3">
        <v>46165.455196759256</v>
      </c>
      <c r="F981" s="9">
        <f>IF($K981="cancelled"," ",(quick_commerce_orders[[#This Row],[delivery_time]]-quick_commerce_orders[[#This Row],[order_time]])*1440)</f>
        <v>8.9999999979045242</v>
      </c>
      <c r="G981" s="2">
        <v>1612.48</v>
      </c>
      <c r="H981" s="2" t="str">
        <f>IF(quick_commerce_orders[[#This Row],[order_value]]&lt;500,"Low",IF(quick_commerce_orders[[#This Row],[order_value]]&gt;1500,"High","Moderate"))</f>
        <v>High</v>
      </c>
      <c r="I98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81" s="2" t="s">
        <v>20</v>
      </c>
      <c r="K981" s="2" t="s">
        <v>16</v>
      </c>
    </row>
    <row r="982" spans="1:11" x14ac:dyDescent="0.2">
      <c r="A982" s="2" t="s">
        <v>1976</v>
      </c>
      <c r="B982" s="2" t="s">
        <v>1977</v>
      </c>
      <c r="C982" s="2" t="s">
        <v>10</v>
      </c>
      <c r="D982" s="3">
        <v>46160.83258101852</v>
      </c>
      <c r="E982" s="3">
        <v>46160.840219907404</v>
      </c>
      <c r="F982" s="9">
        <f>IF($K982="cancelled"," ",(quick_commerce_orders[[#This Row],[delivery_time]]-quick_commerce_orders[[#This Row],[order_time]])*1440)</f>
        <v>10.999999993946403</v>
      </c>
      <c r="G982" s="2">
        <v>961.23</v>
      </c>
      <c r="H982" s="2" t="str">
        <f>IF(quick_commerce_orders[[#This Row],[order_value]]&lt;500,"Low",IF(quick_commerce_orders[[#This Row],[order_value]]&gt;1500,"High","Moderate"))</f>
        <v>Moderate</v>
      </c>
      <c r="I98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82" s="2" t="s">
        <v>20</v>
      </c>
      <c r="K982" s="2" t="s">
        <v>16</v>
      </c>
    </row>
    <row r="983" spans="1:11" x14ac:dyDescent="0.2">
      <c r="A983" s="2" t="s">
        <v>1978</v>
      </c>
      <c r="B983" s="2" t="s">
        <v>1979</v>
      </c>
      <c r="C983" s="2" t="s">
        <v>10</v>
      </c>
      <c r="D983" s="3">
        <v>46153.106354166666</v>
      </c>
      <c r="E983" s="3">
        <v>46153.116076388891</v>
      </c>
      <c r="F983" s="9">
        <f>IF($K983="cancelled"," ",(quick_commerce_orders[[#This Row],[delivery_time]]-quick_commerce_orders[[#This Row],[order_time]])*1440)</f>
        <v>14.00000000372529</v>
      </c>
      <c r="G983" s="2">
        <v>302.67</v>
      </c>
      <c r="H983" s="2" t="str">
        <f>IF(quick_commerce_orders[[#This Row],[order_value]]&lt;500,"Low",IF(quick_commerce_orders[[#This Row],[order_value]]&gt;1500,"High","Moderate"))</f>
        <v>Low</v>
      </c>
      <c r="I98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83" s="2" t="s">
        <v>15</v>
      </c>
      <c r="K983" s="2" t="s">
        <v>16</v>
      </c>
    </row>
    <row r="984" spans="1:11" x14ac:dyDescent="0.2">
      <c r="A984" s="2" t="s">
        <v>1980</v>
      </c>
      <c r="B984" s="2" t="s">
        <v>1981</v>
      </c>
      <c r="C984" s="2" t="s">
        <v>27</v>
      </c>
      <c r="D984" s="3">
        <v>46171.411296296297</v>
      </c>
      <c r="E984" s="3">
        <v>46171.419629629629</v>
      </c>
      <c r="F984" s="9">
        <f>IF($K984="cancelled"," ",(quick_commerce_orders[[#This Row],[delivery_time]]-quick_commerce_orders[[#This Row],[order_time]])*1440)</f>
        <v>11.999999997206032</v>
      </c>
      <c r="G984" s="2">
        <v>1617.7</v>
      </c>
      <c r="H984" s="2" t="str">
        <f>IF(quick_commerce_orders[[#This Row],[order_value]]&lt;500,"Low",IF(quick_commerce_orders[[#This Row],[order_value]]&gt;1500,"High","Moderate"))</f>
        <v>High</v>
      </c>
      <c r="I98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84" s="2" t="s">
        <v>80</v>
      </c>
      <c r="K984" s="2" t="s">
        <v>16</v>
      </c>
    </row>
    <row r="985" spans="1:11" x14ac:dyDescent="0.2">
      <c r="A985" s="2" t="s">
        <v>1982</v>
      </c>
      <c r="B985" s="2" t="s">
        <v>1983</v>
      </c>
      <c r="C985" s="2" t="s">
        <v>53</v>
      </c>
      <c r="D985" s="3">
        <v>46166.58390046296</v>
      </c>
      <c r="E985" s="3">
        <v>46166.59778935185</v>
      </c>
      <c r="F985" s="9">
        <f>IF($K985="cancelled"," ",(quick_commerce_orders[[#This Row],[delivery_time]]-quick_commerce_orders[[#This Row],[order_time]])*1440)</f>
        <v>20.000000002328306</v>
      </c>
      <c r="G985" s="2">
        <v>1863.78</v>
      </c>
      <c r="H985" s="2" t="str">
        <f>IF(quick_commerce_orders[[#This Row],[order_value]]&lt;500,"Low",IF(quick_commerce_orders[[#This Row],[order_value]]&gt;1500,"High","Moderate"))</f>
        <v>High</v>
      </c>
      <c r="I98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85" s="2" t="s">
        <v>15</v>
      </c>
      <c r="K985" s="2" t="s">
        <v>16</v>
      </c>
    </row>
    <row r="986" spans="1:11" x14ac:dyDescent="0.2">
      <c r="A986" s="2" t="s">
        <v>1984</v>
      </c>
      <c r="B986" s="2" t="s">
        <v>1985</v>
      </c>
      <c r="C986" s="2" t="s">
        <v>19</v>
      </c>
      <c r="D986" s="3">
        <v>46167.966620370367</v>
      </c>
      <c r="E986" s="3">
        <v>46167.978425925925</v>
      </c>
      <c r="F986" s="9">
        <f>IF($K986="cancelled"," ",(quick_commerce_orders[[#This Row],[delivery_time]]-quick_commerce_orders[[#This Row],[order_time]])*1440)</f>
        <v>17.000000003026798</v>
      </c>
      <c r="G986" s="2">
        <v>434.86</v>
      </c>
      <c r="H986" s="2" t="str">
        <f>IF(quick_commerce_orders[[#This Row],[order_value]]&lt;500,"Low",IF(quick_commerce_orders[[#This Row],[order_value]]&gt;1500,"High","Moderate"))</f>
        <v>Low</v>
      </c>
      <c r="I98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86" s="2" t="s">
        <v>80</v>
      </c>
      <c r="K986" s="2" t="s">
        <v>16</v>
      </c>
    </row>
    <row r="987" spans="1:11" x14ac:dyDescent="0.2">
      <c r="A987" s="2" t="s">
        <v>1986</v>
      </c>
      <c r="B987" s="2" t="s">
        <v>1987</v>
      </c>
      <c r="C987" s="2" t="s">
        <v>31</v>
      </c>
      <c r="D987" s="3">
        <v>46144.829432870371</v>
      </c>
      <c r="E987" s="3">
        <v>46144.839849537035</v>
      </c>
      <c r="F987" s="9">
        <f>IF($K987="cancelled"," ",(quick_commerce_orders[[#This Row],[delivery_time]]-quick_commerce_orders[[#This Row],[order_time]])*1440)</f>
        <v>14.99999999650754</v>
      </c>
      <c r="G987" s="2">
        <v>562.41999999999996</v>
      </c>
      <c r="H987" s="2" t="str">
        <f>IF(quick_commerce_orders[[#This Row],[order_value]]&lt;500,"Low",IF(quick_commerce_orders[[#This Row],[order_value]]&gt;1500,"High","Moderate"))</f>
        <v>Moderate</v>
      </c>
      <c r="I98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87" s="2" t="s">
        <v>15</v>
      </c>
      <c r="K987" s="2" t="s">
        <v>16</v>
      </c>
    </row>
    <row r="988" spans="1:11" x14ac:dyDescent="0.2">
      <c r="A988" s="2" t="s">
        <v>1988</v>
      </c>
      <c r="B988" s="2" t="s">
        <v>1989</v>
      </c>
      <c r="C988" s="2" t="s">
        <v>34</v>
      </c>
      <c r="D988" s="3">
        <v>46158.448657407411</v>
      </c>
      <c r="E988" s="3">
        <v>46158.454907407409</v>
      </c>
      <c r="F988" s="9">
        <f>IF($K988="cancelled"," ",(quick_commerce_orders[[#This Row],[delivery_time]]-quick_commerce_orders[[#This Row],[order_time]])*1440)</f>
        <v>8.9999999979045242</v>
      </c>
      <c r="G988" s="2">
        <v>1826.37</v>
      </c>
      <c r="H988" s="2" t="str">
        <f>IF(quick_commerce_orders[[#This Row],[order_value]]&lt;500,"Low",IF(quick_commerce_orders[[#This Row],[order_value]]&gt;1500,"High","Moderate"))</f>
        <v>High</v>
      </c>
      <c r="I98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88" s="2" t="s">
        <v>15</v>
      </c>
      <c r="K988" s="2" t="s">
        <v>16</v>
      </c>
    </row>
    <row r="989" spans="1:11" x14ac:dyDescent="0.2">
      <c r="A989" s="2" t="s">
        <v>1990</v>
      </c>
      <c r="B989" s="2" t="s">
        <v>1991</v>
      </c>
      <c r="C989" s="2" t="s">
        <v>53</v>
      </c>
      <c r="D989" s="3">
        <v>46167.273414351854</v>
      </c>
      <c r="E989" s="3">
        <v>46167.286608796298</v>
      </c>
      <c r="F989" s="9">
        <f>IF($K989="cancelled"," ",(quick_commerce_orders[[#This Row],[delivery_time]]-quick_commerce_orders[[#This Row],[order_time]])*1440)</f>
        <v>18.999999999068677</v>
      </c>
      <c r="G989" s="2">
        <v>1522.07</v>
      </c>
      <c r="H989" s="2" t="str">
        <f>IF(quick_commerce_orders[[#This Row],[order_value]]&lt;500,"Low",IF(quick_commerce_orders[[#This Row],[order_value]]&gt;1500,"High","Moderate"))</f>
        <v>High</v>
      </c>
      <c r="I98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89" s="2" t="s">
        <v>39</v>
      </c>
      <c r="K989" s="2" t="s">
        <v>16</v>
      </c>
    </row>
    <row r="990" spans="1:11" x14ac:dyDescent="0.2">
      <c r="A990" s="2" t="s">
        <v>1992</v>
      </c>
      <c r="B990" s="2" t="s">
        <v>1993</v>
      </c>
      <c r="C990" s="2" t="s">
        <v>42</v>
      </c>
      <c r="D990" s="3">
        <v>46174.71503472222</v>
      </c>
      <c r="E990" s="3">
        <v>46174.726145833331</v>
      </c>
      <c r="F990" s="9">
        <f>IF($K990="cancelled"," ",(quick_commerce_orders[[#This Row],[delivery_time]]-quick_commerce_orders[[#This Row],[order_time]])*1440)</f>
        <v>15.999999999767169</v>
      </c>
      <c r="G990" s="2">
        <v>1273.1600000000001</v>
      </c>
      <c r="H990" s="2" t="str">
        <f>IF(quick_commerce_orders[[#This Row],[order_value]]&lt;500,"Low",IF(quick_commerce_orders[[#This Row],[order_value]]&gt;1500,"High","Moderate"))</f>
        <v>Moderate</v>
      </c>
      <c r="I99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90" s="2" t="s">
        <v>39</v>
      </c>
      <c r="K990" s="2" t="s">
        <v>16</v>
      </c>
    </row>
    <row r="991" spans="1:11" x14ac:dyDescent="0.2">
      <c r="A991" s="2" t="s">
        <v>1994</v>
      </c>
      <c r="B991" s="2" t="s">
        <v>1995</v>
      </c>
      <c r="C991" s="2" t="s">
        <v>27</v>
      </c>
      <c r="D991" s="3">
        <v>46161.435196759259</v>
      </c>
      <c r="E991" s="3">
        <v>46161.44908564815</v>
      </c>
      <c r="F991" s="9">
        <f>IF($K991="cancelled"," ",(quick_commerce_orders[[#This Row],[delivery_time]]-quick_commerce_orders[[#This Row],[order_time]])*1440)</f>
        <v>20.000000002328306</v>
      </c>
      <c r="G991" s="2">
        <v>250.18</v>
      </c>
      <c r="H991" s="2" t="str">
        <f>IF(quick_commerce_orders[[#This Row],[order_value]]&lt;500,"Low",IF(quick_commerce_orders[[#This Row],[order_value]]&gt;1500,"High","Moderate"))</f>
        <v>Low</v>
      </c>
      <c r="I99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91" s="2" t="s">
        <v>20</v>
      </c>
      <c r="K991" s="2" t="s">
        <v>16</v>
      </c>
    </row>
    <row r="992" spans="1:11" x14ac:dyDescent="0.2">
      <c r="A992" s="2" t="s">
        <v>1996</v>
      </c>
      <c r="B992" s="2" t="s">
        <v>1997</v>
      </c>
      <c r="C992" s="2" t="s">
        <v>42</v>
      </c>
      <c r="D992" s="3">
        <v>46163.129548611112</v>
      </c>
      <c r="E992" s="3">
        <v>46163.14135416667</v>
      </c>
      <c r="F992" s="9">
        <f>IF($K992="cancelled"," ",(quick_commerce_orders[[#This Row],[delivery_time]]-quick_commerce_orders[[#This Row],[order_time]])*1440)</f>
        <v>17.000000003026798</v>
      </c>
      <c r="G992" s="2">
        <v>1396.32</v>
      </c>
      <c r="H992" s="2" t="str">
        <f>IF(quick_commerce_orders[[#This Row],[order_value]]&lt;500,"Low",IF(quick_commerce_orders[[#This Row],[order_value]]&gt;1500,"High","Moderate"))</f>
        <v>Moderate</v>
      </c>
      <c r="I99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92" s="2" t="s">
        <v>39</v>
      </c>
      <c r="K992" s="2" t="s">
        <v>16</v>
      </c>
    </row>
    <row r="993" spans="1:11" x14ac:dyDescent="0.2">
      <c r="A993" s="2" t="s">
        <v>1998</v>
      </c>
      <c r="B993" s="2" t="s">
        <v>1999</v>
      </c>
      <c r="C993" s="2" t="s">
        <v>19</v>
      </c>
      <c r="D993" s="3">
        <v>46147.078564814816</v>
      </c>
      <c r="E993" s="3">
        <v>46147.085509259261</v>
      </c>
      <c r="F993" s="9">
        <f>IF($K993="cancelled"," ",(quick_commerce_orders[[#This Row],[delivery_time]]-quick_commerce_orders[[#This Row],[order_time]])*1440)</f>
        <v>10.000000001164153</v>
      </c>
      <c r="G993" s="2">
        <v>837.55</v>
      </c>
      <c r="H993" s="2" t="str">
        <f>IF(quick_commerce_orders[[#This Row],[order_value]]&lt;500,"Low",IF(quick_commerce_orders[[#This Row],[order_value]]&gt;1500,"High","Moderate"))</f>
        <v>Moderate</v>
      </c>
      <c r="I99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93" s="2" t="s">
        <v>20</v>
      </c>
      <c r="K993" s="2" t="s">
        <v>16</v>
      </c>
    </row>
    <row r="994" spans="1:11" x14ac:dyDescent="0.2">
      <c r="A994" s="2" t="s">
        <v>2000</v>
      </c>
      <c r="B994" s="2" t="s">
        <v>2001</v>
      </c>
      <c r="C994" s="2" t="s">
        <v>34</v>
      </c>
      <c r="D994" s="3">
        <v>46154.050069444442</v>
      </c>
      <c r="E994" s="3">
        <v>46154.05840277778</v>
      </c>
      <c r="F994" s="9">
        <f>IF($K994="cancelled"," ",(quick_commerce_orders[[#This Row],[delivery_time]]-quick_commerce_orders[[#This Row],[order_time]])*1440)</f>
        <v>12.000000007683411</v>
      </c>
      <c r="G994" s="2">
        <v>1380.46</v>
      </c>
      <c r="H994" s="2" t="str">
        <f>IF(quick_commerce_orders[[#This Row],[order_value]]&lt;500,"Low",IF(quick_commerce_orders[[#This Row],[order_value]]&gt;1500,"High","Moderate"))</f>
        <v>Moderate</v>
      </c>
      <c r="I994"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94" s="2" t="s">
        <v>20</v>
      </c>
      <c r="K994" s="2" t="s">
        <v>16</v>
      </c>
    </row>
    <row r="995" spans="1:11" x14ac:dyDescent="0.2">
      <c r="A995" s="2" t="s">
        <v>2002</v>
      </c>
      <c r="B995" s="2" t="s">
        <v>2003</v>
      </c>
      <c r="C995" s="2" t="s">
        <v>34</v>
      </c>
      <c r="D995" s="3">
        <v>46174.254189814812</v>
      </c>
      <c r="E995" s="3">
        <v>46174.260439814818</v>
      </c>
      <c r="F995" s="9">
        <f>IF($K995="cancelled"," ",(quick_commerce_orders[[#This Row],[delivery_time]]-quick_commerce_orders[[#This Row],[order_time]])*1440)</f>
        <v>9.0000000083819032</v>
      </c>
      <c r="G995" s="2">
        <v>2101.1999999999998</v>
      </c>
      <c r="H995" s="2" t="str">
        <f>IF(quick_commerce_orders[[#This Row],[order_value]]&lt;500,"Low",IF(quick_commerce_orders[[#This Row],[order_value]]&gt;1500,"High","Moderate"))</f>
        <v>High</v>
      </c>
      <c r="I995"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995" s="2" t="s">
        <v>80</v>
      </c>
      <c r="K995" s="2" t="s">
        <v>16</v>
      </c>
    </row>
    <row r="996" spans="1:11" x14ac:dyDescent="0.2">
      <c r="A996" s="2" t="s">
        <v>2004</v>
      </c>
      <c r="B996" s="2" t="s">
        <v>2005</v>
      </c>
      <c r="C996" s="2" t="s">
        <v>10</v>
      </c>
      <c r="D996" s="3">
        <v>46167.896909722222</v>
      </c>
      <c r="E996" s="3"/>
      <c r="F996" s="9" t="str">
        <f>IF($K996="cancelled"," ",(quick_commerce_orders[[#This Row],[delivery_time]]-quick_commerce_orders[[#This Row],[order_time]])*1440)</f>
        <v xml:space="preserve"> </v>
      </c>
      <c r="G996" s="2">
        <v>1177.3399999999999</v>
      </c>
      <c r="H996" s="2" t="str">
        <f>IF(quick_commerce_orders[[#This Row],[order_value]]&lt;500,"Low",IF(quick_commerce_orders[[#This Row],[order_value]]&gt;1500,"High","Moderate"))</f>
        <v>Moderate</v>
      </c>
      <c r="I996"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96" s="2" t="s">
        <v>20</v>
      </c>
      <c r="K996" s="2" t="s">
        <v>58</v>
      </c>
    </row>
    <row r="997" spans="1:11" x14ac:dyDescent="0.2">
      <c r="A997" s="2" t="s">
        <v>2006</v>
      </c>
      <c r="B997" s="2" t="s">
        <v>2007</v>
      </c>
      <c r="C997" s="2" t="s">
        <v>75</v>
      </c>
      <c r="D997" s="3">
        <v>46159.057800925926</v>
      </c>
      <c r="E997" s="3">
        <v>46159.069606481484</v>
      </c>
      <c r="F997" s="9">
        <f>IF($K997="cancelled"," ",(quick_commerce_orders[[#This Row],[delivery_time]]-quick_commerce_orders[[#This Row],[order_time]])*1440)</f>
        <v>17.000000003026798</v>
      </c>
      <c r="G997" s="2">
        <v>2489</v>
      </c>
      <c r="H997" s="2" t="str">
        <f>IF(quick_commerce_orders[[#This Row],[order_value]]&lt;500,"Low",IF(quick_commerce_orders[[#This Row],[order_value]]&gt;1500,"High","Moderate"))</f>
        <v>High</v>
      </c>
      <c r="I997"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97" s="2" t="s">
        <v>20</v>
      </c>
      <c r="K997" s="2" t="s">
        <v>16</v>
      </c>
    </row>
    <row r="998" spans="1:11" x14ac:dyDescent="0.2">
      <c r="A998" s="2" t="s">
        <v>2008</v>
      </c>
      <c r="B998" s="2" t="s">
        <v>2009</v>
      </c>
      <c r="C998" s="2" t="s">
        <v>31</v>
      </c>
      <c r="D998" s="3">
        <v>46147.041643518518</v>
      </c>
      <c r="E998" s="3">
        <v>46147.050671296296</v>
      </c>
      <c r="F998" s="9">
        <f>IF($K998="cancelled"," ",(quick_commerce_orders[[#This Row],[delivery_time]]-quick_commerce_orders[[#This Row],[order_time]])*1440)</f>
        <v>13.000000000465661</v>
      </c>
      <c r="G998" s="2">
        <v>187.9</v>
      </c>
      <c r="H998" s="2" t="str">
        <f>IF(quick_commerce_orders[[#This Row],[order_value]]&lt;500,"Low",IF(quick_commerce_orders[[#This Row],[order_value]]&gt;1500,"High","Moderate"))</f>
        <v>Low</v>
      </c>
      <c r="I998"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Late Night</v>
      </c>
      <c r="J998" s="2" t="s">
        <v>20</v>
      </c>
      <c r="K998" s="2" t="s">
        <v>16</v>
      </c>
    </row>
    <row r="999" spans="1:11" x14ac:dyDescent="0.2">
      <c r="A999" s="2" t="s">
        <v>2010</v>
      </c>
      <c r="B999" s="2" t="s">
        <v>2011</v>
      </c>
      <c r="C999" s="2" t="s">
        <v>75</v>
      </c>
      <c r="D999" s="3">
        <v>46156.855543981481</v>
      </c>
      <c r="E999" s="3">
        <v>46156.868043981478</v>
      </c>
      <c r="F999" s="9">
        <f>IF($K999="cancelled"," ",(quick_commerce_orders[[#This Row],[delivery_time]]-quick_commerce_orders[[#This Row],[order_time]])*1440)</f>
        <v>17.999999995809048</v>
      </c>
      <c r="G999" s="2">
        <v>233.53</v>
      </c>
      <c r="H999" s="2" t="str">
        <f>IF(quick_commerce_orders[[#This Row],[order_value]]&lt;500,"Low",IF(quick_commerce_orders[[#This Row],[order_value]]&gt;1500,"High","Moderate"))</f>
        <v>Low</v>
      </c>
      <c r="I999"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999" s="2" t="s">
        <v>39</v>
      </c>
      <c r="K999" s="2" t="s">
        <v>16</v>
      </c>
    </row>
    <row r="1000" spans="1:11" x14ac:dyDescent="0.2">
      <c r="A1000" s="2" t="s">
        <v>2012</v>
      </c>
      <c r="B1000" s="2" t="s">
        <v>2013</v>
      </c>
      <c r="C1000" s="2" t="s">
        <v>27</v>
      </c>
      <c r="D1000" s="3">
        <v>46148.619212962964</v>
      </c>
      <c r="E1000" s="3">
        <v>46148.632407407407</v>
      </c>
      <c r="F1000" s="9">
        <f>IF($K1000="cancelled"," ",(quick_commerce_orders[[#This Row],[delivery_time]]-quick_commerce_orders[[#This Row],[order_time]])*1440)</f>
        <v>18.999999999068677</v>
      </c>
      <c r="G1000" s="2">
        <v>1989.67</v>
      </c>
      <c r="H1000" s="2" t="str">
        <f>IF(quick_commerce_orders[[#This Row],[order_value]]&lt;500,"Low",IF(quick_commerce_orders[[#This Row],[order_value]]&gt;1500,"High","Moderate"))</f>
        <v>High</v>
      </c>
      <c r="I1000"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00" s="2" t="s">
        <v>39</v>
      </c>
      <c r="K1000" s="2" t="s">
        <v>16</v>
      </c>
    </row>
    <row r="1001" spans="1:11" x14ac:dyDescent="0.2">
      <c r="A1001" s="2" t="s">
        <v>2014</v>
      </c>
      <c r="B1001" s="2" t="s">
        <v>2015</v>
      </c>
      <c r="C1001" s="2" t="s">
        <v>53</v>
      </c>
      <c r="D1001" s="3">
        <v>46146.483182870368</v>
      </c>
      <c r="E1001" s="3">
        <v>46146.492905092593</v>
      </c>
      <c r="F1001" s="9">
        <f>IF($K1001="cancelled"," ",(quick_commerce_orders[[#This Row],[delivery_time]]-quick_commerce_orders[[#This Row],[order_time]])*1440)</f>
        <v>14.00000000372529</v>
      </c>
      <c r="G1001" s="2">
        <v>201.75</v>
      </c>
      <c r="H1001" s="2" t="str">
        <f>IF(quick_commerce_orders[[#This Row],[order_value]]&lt;500,"Low",IF(quick_commerce_orders[[#This Row],[order_value]]&gt;1500,"High","Moderate"))</f>
        <v>Low</v>
      </c>
      <c r="I1001"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Early Morning</v>
      </c>
      <c r="J1001" s="2" t="s">
        <v>28</v>
      </c>
      <c r="K1001" s="2" t="s">
        <v>16</v>
      </c>
    </row>
    <row r="1002" spans="1:11" x14ac:dyDescent="0.2">
      <c r="A1002" s="2" t="s">
        <v>2016</v>
      </c>
      <c r="B1002" s="2" t="s">
        <v>2017</v>
      </c>
      <c r="C1002" s="2" t="s">
        <v>10</v>
      </c>
      <c r="D1002" s="3">
        <v>46169.493576388886</v>
      </c>
      <c r="E1002" s="3">
        <v>46169.506076388891</v>
      </c>
      <c r="F1002" s="9">
        <f>IF($K1002="cancelled"," ",(quick_commerce_orders[[#This Row],[delivery_time]]-quick_commerce_orders[[#This Row],[order_time]])*1440)</f>
        <v>18.000000006286427</v>
      </c>
      <c r="G1002" s="2">
        <v>382.65</v>
      </c>
      <c r="H1002" s="2" t="str">
        <f>IF(quick_commerce_orders[[#This Row],[order_value]]&lt;500,"Low",IF(quick_commerce_orders[[#This Row],[order_value]]&gt;1500,"High","Moderate"))</f>
        <v>Low</v>
      </c>
      <c r="I1002"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02" s="2" t="s">
        <v>15</v>
      </c>
      <c r="K1002" s="2" t="s">
        <v>16</v>
      </c>
    </row>
    <row r="1003" spans="1:11" x14ac:dyDescent="0.2">
      <c r="A1003" s="2" t="s">
        <v>2018</v>
      </c>
      <c r="B1003" s="2" t="s">
        <v>2019</v>
      </c>
      <c r="C1003" s="2" t="s">
        <v>27</v>
      </c>
      <c r="D1003" s="3">
        <v>46146.803854166668</v>
      </c>
      <c r="E1003" s="3">
        <v>46146.817743055559</v>
      </c>
      <c r="F1003" s="9">
        <f>IF($K1003="cancelled"," ",(quick_commerce_orders[[#This Row],[delivery_time]]-quick_commerce_orders[[#This Row],[order_time]])*1440)</f>
        <v>20.000000002328306</v>
      </c>
      <c r="G1003" s="2">
        <v>2036.05</v>
      </c>
      <c r="H1003" s="2" t="str">
        <f>IF(quick_commerce_orders[[#This Row],[order_value]]&lt;500,"Low",IF(quick_commerce_orders[[#This Row],[order_value]]&gt;1500,"High","Moderate"))</f>
        <v>High</v>
      </c>
      <c r="I1003" s="2" t="str">
        <f>IF(AND(HOUR(quick_commerce_orders[[#This Row],[delivery_time]])&gt;0,HOUR(quick_commerce_orders[[#This Row],[delivery_time]])&lt;5),"Late Night",IF(AND(HOUR(quick_commerce_orders[[#This Row],[delivery_time]])&gt;4,HOUR(quick_commerce_orders[[#This Row],[delivery_time]])&lt;12),"Early Morning",IF(AND(HOUR(quick_commerce_orders[[#This Row],[delivery_time]])&gt;11,HOUR(quick_commerce_orders[[#This Row],[delivery_time]])&lt;5),"Afternoon","Evening")))</f>
        <v>Evening</v>
      </c>
      <c r="J1003" s="2" t="s">
        <v>11</v>
      </c>
      <c r="K1003" s="2" t="s">
        <v>16</v>
      </c>
    </row>
  </sheetData>
  <mergeCells count="1">
    <mergeCell ref="A1:K2"/>
  </mergeCells>
  <conditionalFormatting sqref="A4:K1003">
    <cfRule type="expression" dxfId="1" priority="1">
      <formula>($K4="cancelled")</formula>
    </cfRule>
    <cfRule type="expression" dxfId="0" priority="2">
      <formula>($K4="delayed")</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A038-F2E5-B046-A6D6-C2AF9D094E5D}">
  <dimension ref="A1:E998"/>
  <sheetViews>
    <sheetView workbookViewId="0">
      <selection activeCell="G5" sqref="G5"/>
    </sheetView>
  </sheetViews>
  <sheetFormatPr baseColWidth="10" defaultRowHeight="16" x14ac:dyDescent="0.2"/>
  <cols>
    <col min="1" max="1" width="14" bestFit="1" customWidth="1"/>
    <col min="2" max="2" width="13.6640625" bestFit="1" customWidth="1"/>
    <col min="3" max="3" width="6.6640625" bestFit="1" customWidth="1"/>
    <col min="4" max="4" width="10.1640625" bestFit="1" customWidth="1"/>
    <col min="5" max="5" width="18.5" bestFit="1" customWidth="1"/>
  </cols>
  <sheetData>
    <row r="1" spans="1:5" x14ac:dyDescent="0.2">
      <c r="A1" s="22" t="s">
        <v>2198</v>
      </c>
      <c r="B1" s="22"/>
      <c r="C1" s="22"/>
      <c r="D1" s="22"/>
      <c r="E1" s="22"/>
    </row>
    <row r="2" spans="1:5" x14ac:dyDescent="0.2">
      <c r="A2" s="22"/>
      <c r="B2" s="22"/>
      <c r="C2" s="22"/>
      <c r="D2" s="22"/>
      <c r="E2" s="22"/>
    </row>
    <row r="3" spans="1:5" x14ac:dyDescent="0.2">
      <c r="A3" s="7" t="s">
        <v>1</v>
      </c>
      <c r="B3" s="7" t="s">
        <v>2021</v>
      </c>
      <c r="C3" s="7" t="s">
        <v>2022</v>
      </c>
      <c r="D3" s="7" t="s">
        <v>2023</v>
      </c>
      <c r="E3" s="7" t="s">
        <v>2024</v>
      </c>
    </row>
    <row r="4" spans="1:5" x14ac:dyDescent="0.2">
      <c r="A4" s="2" t="s">
        <v>9</v>
      </c>
      <c r="B4" s="6">
        <v>45553</v>
      </c>
      <c r="C4" s="2">
        <v>24</v>
      </c>
      <c r="D4" s="2" t="s">
        <v>2025</v>
      </c>
      <c r="E4" s="2" t="s">
        <v>2026</v>
      </c>
    </row>
    <row r="5" spans="1:5" x14ac:dyDescent="0.2">
      <c r="A5" s="2" t="s">
        <v>14</v>
      </c>
      <c r="B5" s="6">
        <v>45929</v>
      </c>
      <c r="C5" s="2">
        <v>20</v>
      </c>
      <c r="D5" s="2" t="s">
        <v>2025</v>
      </c>
      <c r="E5" s="2" t="s">
        <v>2027</v>
      </c>
    </row>
    <row r="6" spans="1:5" x14ac:dyDescent="0.2">
      <c r="A6" s="2" t="s">
        <v>18</v>
      </c>
      <c r="B6" s="6">
        <v>45976</v>
      </c>
      <c r="C6" s="2">
        <v>44</v>
      </c>
      <c r="D6" s="2" t="s">
        <v>2028</v>
      </c>
      <c r="E6" s="2" t="s">
        <v>2027</v>
      </c>
    </row>
    <row r="7" spans="1:5" x14ac:dyDescent="0.2">
      <c r="A7" s="2" t="s">
        <v>22</v>
      </c>
      <c r="B7" s="6">
        <v>45668</v>
      </c>
      <c r="C7" s="2">
        <v>30</v>
      </c>
      <c r="D7" s="2" t="s">
        <v>2028</v>
      </c>
      <c r="E7" s="2" t="s">
        <v>2026</v>
      </c>
    </row>
    <row r="8" spans="1:5" x14ac:dyDescent="0.2">
      <c r="A8" s="2" t="s">
        <v>24</v>
      </c>
      <c r="B8" s="6">
        <v>45814</v>
      </c>
      <c r="C8" s="2">
        <v>22</v>
      </c>
      <c r="D8" s="2" t="s">
        <v>2028</v>
      </c>
      <c r="E8" s="2" t="s">
        <v>2027</v>
      </c>
    </row>
    <row r="9" spans="1:5" x14ac:dyDescent="0.2">
      <c r="A9" s="2" t="s">
        <v>26</v>
      </c>
      <c r="B9" s="6">
        <v>45348</v>
      </c>
      <c r="C9" s="2">
        <v>52</v>
      </c>
      <c r="D9" s="2" t="s">
        <v>2028</v>
      </c>
      <c r="E9" s="2" t="s">
        <v>2027</v>
      </c>
    </row>
    <row r="10" spans="1:5" x14ac:dyDescent="0.2">
      <c r="A10" s="2" t="s">
        <v>30</v>
      </c>
      <c r="B10" s="6">
        <v>45787</v>
      </c>
      <c r="C10" s="2">
        <v>25</v>
      </c>
      <c r="D10" s="2" t="s">
        <v>2025</v>
      </c>
      <c r="E10" s="2" t="s">
        <v>2026</v>
      </c>
    </row>
    <row r="11" spans="1:5" x14ac:dyDescent="0.2">
      <c r="A11" s="2" t="s">
        <v>33</v>
      </c>
      <c r="B11" s="6">
        <v>45881</v>
      </c>
      <c r="C11" s="2">
        <v>55</v>
      </c>
      <c r="D11" s="2" t="s">
        <v>2028</v>
      </c>
      <c r="E11" s="2" t="s">
        <v>2027</v>
      </c>
    </row>
    <row r="12" spans="1:5" x14ac:dyDescent="0.2">
      <c r="A12" s="2" t="s">
        <v>36</v>
      </c>
      <c r="B12" s="6">
        <v>45945</v>
      </c>
      <c r="C12" s="2">
        <v>44</v>
      </c>
      <c r="D12" s="2" t="s">
        <v>2025</v>
      </c>
      <c r="E12" s="2" t="s">
        <v>2027</v>
      </c>
    </row>
    <row r="13" spans="1:5" x14ac:dyDescent="0.2">
      <c r="A13" s="2" t="s">
        <v>38</v>
      </c>
      <c r="B13" s="6">
        <v>45386</v>
      </c>
      <c r="C13" s="2">
        <v>25</v>
      </c>
      <c r="D13" s="2" t="s">
        <v>2028</v>
      </c>
      <c r="E13" s="2" t="s">
        <v>2027</v>
      </c>
    </row>
    <row r="14" spans="1:5" x14ac:dyDescent="0.2">
      <c r="A14" s="2" t="s">
        <v>41</v>
      </c>
      <c r="B14" s="6">
        <v>45969</v>
      </c>
      <c r="C14" s="2">
        <v>36</v>
      </c>
      <c r="D14" s="2" t="s">
        <v>2028</v>
      </c>
      <c r="E14" s="2" t="s">
        <v>2026</v>
      </c>
    </row>
    <row r="15" spans="1:5" x14ac:dyDescent="0.2">
      <c r="A15" s="2" t="s">
        <v>44</v>
      </c>
      <c r="B15" s="6">
        <v>45848</v>
      </c>
      <c r="C15" s="2">
        <v>24</v>
      </c>
      <c r="D15" s="2" t="s">
        <v>2029</v>
      </c>
      <c r="E15" s="2" t="s">
        <v>2027</v>
      </c>
    </row>
    <row r="16" spans="1:5" x14ac:dyDescent="0.2">
      <c r="A16" s="2" t="s">
        <v>46</v>
      </c>
      <c r="B16" s="6">
        <v>45952</v>
      </c>
      <c r="C16" s="2">
        <v>21</v>
      </c>
      <c r="D16" s="2" t="s">
        <v>2025</v>
      </c>
      <c r="E16" s="2" t="s">
        <v>2027</v>
      </c>
    </row>
    <row r="17" spans="1:5" x14ac:dyDescent="0.2">
      <c r="A17" s="2" t="s">
        <v>48</v>
      </c>
      <c r="B17" s="6">
        <v>45717</v>
      </c>
      <c r="C17" s="2">
        <v>54</v>
      </c>
      <c r="D17" s="2" t="s">
        <v>2028</v>
      </c>
      <c r="E17" s="2" t="s">
        <v>2026</v>
      </c>
    </row>
    <row r="18" spans="1:5" x14ac:dyDescent="0.2">
      <c r="A18" s="2" t="s">
        <v>50</v>
      </c>
      <c r="B18" s="6">
        <v>45691</v>
      </c>
      <c r="C18" s="2">
        <v>33</v>
      </c>
      <c r="D18" s="2" t="s">
        <v>2028</v>
      </c>
      <c r="E18" s="2" t="s">
        <v>2027</v>
      </c>
    </row>
    <row r="19" spans="1:5" x14ac:dyDescent="0.2">
      <c r="A19" s="2" t="s">
        <v>52</v>
      </c>
      <c r="B19" s="6">
        <v>45937</v>
      </c>
      <c r="C19" s="2">
        <v>37</v>
      </c>
      <c r="D19" s="2" t="s">
        <v>2028</v>
      </c>
      <c r="E19" s="2" t="s">
        <v>2027</v>
      </c>
    </row>
    <row r="20" spans="1:5" x14ac:dyDescent="0.2">
      <c r="A20" s="2" t="s">
        <v>55</v>
      </c>
      <c r="B20" s="6">
        <v>45455</v>
      </c>
      <c r="C20" s="2">
        <v>31</v>
      </c>
      <c r="D20" s="2" t="s">
        <v>2028</v>
      </c>
      <c r="E20" s="2" t="s">
        <v>2027</v>
      </c>
    </row>
    <row r="21" spans="1:5" x14ac:dyDescent="0.2">
      <c r="A21" s="2" t="s">
        <v>57</v>
      </c>
      <c r="B21" s="6">
        <v>45809</v>
      </c>
      <c r="C21" s="2">
        <v>46</v>
      </c>
      <c r="D21" s="2" t="s">
        <v>2028</v>
      </c>
      <c r="E21" s="2" t="s">
        <v>2027</v>
      </c>
    </row>
    <row r="22" spans="1:5" x14ac:dyDescent="0.2">
      <c r="A22" s="2" t="s">
        <v>60</v>
      </c>
      <c r="B22" s="6">
        <v>45579</v>
      </c>
      <c r="C22" s="2">
        <v>19</v>
      </c>
      <c r="D22" s="2" t="s">
        <v>2029</v>
      </c>
      <c r="E22" s="2" t="s">
        <v>2027</v>
      </c>
    </row>
    <row r="23" spans="1:5" x14ac:dyDescent="0.2">
      <c r="A23" s="2" t="s">
        <v>62</v>
      </c>
      <c r="B23" s="6">
        <v>45751</v>
      </c>
      <c r="C23" s="2">
        <v>19</v>
      </c>
      <c r="D23" s="2" t="s">
        <v>2028</v>
      </c>
      <c r="E23" s="2" t="s">
        <v>2027</v>
      </c>
    </row>
    <row r="24" spans="1:5" x14ac:dyDescent="0.2">
      <c r="A24" s="2" t="s">
        <v>64</v>
      </c>
      <c r="B24" s="6">
        <v>45812</v>
      </c>
      <c r="C24" s="2">
        <v>24</v>
      </c>
      <c r="D24" s="2" t="s">
        <v>2025</v>
      </c>
      <c r="E24" s="2" t="s">
        <v>2027</v>
      </c>
    </row>
    <row r="25" spans="1:5" x14ac:dyDescent="0.2">
      <c r="A25" s="2" t="s">
        <v>66</v>
      </c>
      <c r="B25" s="6">
        <v>45926</v>
      </c>
      <c r="C25" s="2">
        <v>28</v>
      </c>
      <c r="D25" s="2" t="s">
        <v>2025</v>
      </c>
      <c r="E25" s="2" t="s">
        <v>2027</v>
      </c>
    </row>
    <row r="26" spans="1:5" x14ac:dyDescent="0.2">
      <c r="A26" s="2" t="s">
        <v>68</v>
      </c>
      <c r="B26" s="6">
        <v>45789</v>
      </c>
      <c r="C26" s="2">
        <v>35</v>
      </c>
      <c r="D26" s="2" t="s">
        <v>2028</v>
      </c>
      <c r="E26" s="2" t="s">
        <v>2026</v>
      </c>
    </row>
    <row r="27" spans="1:5" x14ac:dyDescent="0.2">
      <c r="A27" s="2" t="s">
        <v>70</v>
      </c>
      <c r="B27" s="6">
        <v>45355</v>
      </c>
      <c r="C27" s="2">
        <v>23</v>
      </c>
      <c r="D27" s="2" t="s">
        <v>2028</v>
      </c>
      <c r="E27" s="2" t="s">
        <v>2027</v>
      </c>
    </row>
    <row r="28" spans="1:5" x14ac:dyDescent="0.2">
      <c r="A28" s="2" t="s">
        <v>72</v>
      </c>
      <c r="B28" s="6">
        <v>45860</v>
      </c>
      <c r="C28" s="2">
        <v>52</v>
      </c>
      <c r="D28" s="2" t="s">
        <v>2028</v>
      </c>
      <c r="E28" s="2" t="s">
        <v>2026</v>
      </c>
    </row>
    <row r="29" spans="1:5" x14ac:dyDescent="0.2">
      <c r="A29" s="2" t="s">
        <v>74</v>
      </c>
      <c r="B29" s="6">
        <v>45543</v>
      </c>
      <c r="C29" s="2">
        <v>31</v>
      </c>
      <c r="D29" s="2" t="s">
        <v>2025</v>
      </c>
      <c r="E29" s="2" t="s">
        <v>2030</v>
      </c>
    </row>
    <row r="30" spans="1:5" x14ac:dyDescent="0.2">
      <c r="A30" s="2" t="s">
        <v>77</v>
      </c>
      <c r="B30" s="6">
        <v>45537</v>
      </c>
      <c r="C30" s="2">
        <v>37</v>
      </c>
      <c r="D30" s="2" t="s">
        <v>2028</v>
      </c>
      <c r="E30" s="2" t="s">
        <v>2027</v>
      </c>
    </row>
    <row r="31" spans="1:5" x14ac:dyDescent="0.2">
      <c r="A31" s="2" t="s">
        <v>79</v>
      </c>
      <c r="B31" s="6">
        <v>45369</v>
      </c>
      <c r="C31" s="2">
        <v>23</v>
      </c>
      <c r="D31" s="2" t="s">
        <v>2028</v>
      </c>
      <c r="E31" s="2" t="s">
        <v>2027</v>
      </c>
    </row>
    <row r="32" spans="1:5" x14ac:dyDescent="0.2">
      <c r="A32" s="2" t="s">
        <v>82</v>
      </c>
      <c r="B32" s="6">
        <v>45570</v>
      </c>
      <c r="C32" s="2">
        <v>51</v>
      </c>
      <c r="D32" s="2" t="s">
        <v>2028</v>
      </c>
      <c r="E32" s="2" t="s">
        <v>2026</v>
      </c>
    </row>
    <row r="33" spans="1:5" x14ac:dyDescent="0.2">
      <c r="A33" s="2" t="s">
        <v>84</v>
      </c>
      <c r="B33" s="6">
        <v>45947</v>
      </c>
      <c r="C33" s="2">
        <v>48</v>
      </c>
      <c r="D33" s="2" t="s">
        <v>2028</v>
      </c>
      <c r="E33" s="2" t="s">
        <v>2026</v>
      </c>
    </row>
    <row r="34" spans="1:5" x14ac:dyDescent="0.2">
      <c r="A34" s="2" t="s">
        <v>86</v>
      </c>
      <c r="B34" s="6">
        <v>45711</v>
      </c>
      <c r="C34" s="2">
        <v>52</v>
      </c>
      <c r="D34" s="2" t="s">
        <v>2025</v>
      </c>
      <c r="E34" s="2" t="s">
        <v>2027</v>
      </c>
    </row>
    <row r="35" spans="1:5" x14ac:dyDescent="0.2">
      <c r="A35" s="2" t="s">
        <v>88</v>
      </c>
      <c r="B35" s="6">
        <v>45844</v>
      </c>
      <c r="C35" s="2">
        <v>41</v>
      </c>
      <c r="D35" s="2" t="s">
        <v>2028</v>
      </c>
      <c r="E35" s="2" t="s">
        <v>2027</v>
      </c>
    </row>
    <row r="36" spans="1:5" x14ac:dyDescent="0.2">
      <c r="A36" s="2" t="s">
        <v>90</v>
      </c>
      <c r="B36" s="6">
        <v>45767</v>
      </c>
      <c r="C36" s="2">
        <v>47</v>
      </c>
      <c r="D36" s="2" t="s">
        <v>2025</v>
      </c>
      <c r="E36" s="2" t="s">
        <v>2030</v>
      </c>
    </row>
    <row r="37" spans="1:5" x14ac:dyDescent="0.2">
      <c r="A37" s="2" t="s">
        <v>92</v>
      </c>
      <c r="B37" s="6">
        <v>45919</v>
      </c>
      <c r="C37" s="2">
        <v>20</v>
      </c>
      <c r="D37" s="2" t="s">
        <v>2028</v>
      </c>
      <c r="E37" s="2" t="s">
        <v>2027</v>
      </c>
    </row>
    <row r="38" spans="1:5" x14ac:dyDescent="0.2">
      <c r="A38" s="2" t="s">
        <v>94</v>
      </c>
      <c r="B38" s="6">
        <v>45437</v>
      </c>
      <c r="C38" s="2">
        <v>49</v>
      </c>
      <c r="D38" s="2" t="s">
        <v>2025</v>
      </c>
      <c r="E38" s="2" t="s">
        <v>2027</v>
      </c>
    </row>
    <row r="39" spans="1:5" x14ac:dyDescent="0.2">
      <c r="A39" s="2" t="s">
        <v>96</v>
      </c>
      <c r="B39" s="6">
        <v>45823</v>
      </c>
      <c r="C39" s="2">
        <v>35</v>
      </c>
      <c r="D39" s="2" t="s">
        <v>2025</v>
      </c>
      <c r="E39" s="2" t="s">
        <v>2027</v>
      </c>
    </row>
    <row r="40" spans="1:5" x14ac:dyDescent="0.2">
      <c r="A40" s="2" t="s">
        <v>98</v>
      </c>
      <c r="B40" s="6">
        <v>45403</v>
      </c>
      <c r="C40" s="2">
        <v>55</v>
      </c>
      <c r="D40" s="2" t="s">
        <v>2028</v>
      </c>
      <c r="E40" s="2" t="s">
        <v>2027</v>
      </c>
    </row>
    <row r="41" spans="1:5" x14ac:dyDescent="0.2">
      <c r="A41" s="2" t="s">
        <v>100</v>
      </c>
      <c r="B41" s="6">
        <v>45381</v>
      </c>
      <c r="C41" s="2">
        <v>54</v>
      </c>
      <c r="D41" s="2" t="s">
        <v>2028</v>
      </c>
      <c r="E41" s="2" t="s">
        <v>2027</v>
      </c>
    </row>
    <row r="42" spans="1:5" x14ac:dyDescent="0.2">
      <c r="A42" s="2" t="s">
        <v>102</v>
      </c>
      <c r="B42" s="6">
        <v>45791</v>
      </c>
      <c r="C42" s="2">
        <v>27</v>
      </c>
      <c r="D42" s="2" t="s">
        <v>2028</v>
      </c>
      <c r="E42" s="2" t="s">
        <v>2026</v>
      </c>
    </row>
    <row r="43" spans="1:5" x14ac:dyDescent="0.2">
      <c r="A43" s="2" t="s">
        <v>104</v>
      </c>
      <c r="B43" s="6">
        <v>45390</v>
      </c>
      <c r="C43" s="2">
        <v>23</v>
      </c>
      <c r="D43" s="2" t="s">
        <v>2028</v>
      </c>
      <c r="E43" s="2" t="s">
        <v>2027</v>
      </c>
    </row>
    <row r="44" spans="1:5" x14ac:dyDescent="0.2">
      <c r="A44" s="2" t="s">
        <v>106</v>
      </c>
      <c r="B44" s="6">
        <v>45699</v>
      </c>
      <c r="C44" s="2">
        <v>25</v>
      </c>
      <c r="D44" s="2" t="s">
        <v>2028</v>
      </c>
      <c r="E44" s="2" t="s">
        <v>2030</v>
      </c>
    </row>
    <row r="45" spans="1:5" x14ac:dyDescent="0.2">
      <c r="A45" s="2" t="s">
        <v>108</v>
      </c>
      <c r="B45" s="6">
        <v>45634</v>
      </c>
      <c r="C45" s="2">
        <v>43</v>
      </c>
      <c r="D45" s="2" t="s">
        <v>2025</v>
      </c>
      <c r="E45" s="2" t="s">
        <v>2026</v>
      </c>
    </row>
    <row r="46" spans="1:5" x14ac:dyDescent="0.2">
      <c r="A46" s="2" t="s">
        <v>110</v>
      </c>
      <c r="B46" s="6">
        <v>45394</v>
      </c>
      <c r="C46" s="2">
        <v>45</v>
      </c>
      <c r="D46" s="2" t="s">
        <v>2025</v>
      </c>
      <c r="E46" s="2" t="s">
        <v>2026</v>
      </c>
    </row>
    <row r="47" spans="1:5" x14ac:dyDescent="0.2">
      <c r="A47" s="2" t="s">
        <v>112</v>
      </c>
      <c r="B47" s="6">
        <v>45784</v>
      </c>
      <c r="C47" s="2">
        <v>37</v>
      </c>
      <c r="D47" s="2" t="s">
        <v>2028</v>
      </c>
      <c r="E47" s="2" t="s">
        <v>2030</v>
      </c>
    </row>
    <row r="48" spans="1:5" x14ac:dyDescent="0.2">
      <c r="A48" s="2" t="s">
        <v>114</v>
      </c>
      <c r="B48" s="6">
        <v>45931</v>
      </c>
      <c r="C48" s="2">
        <v>38</v>
      </c>
      <c r="D48" s="2" t="s">
        <v>2025</v>
      </c>
      <c r="E48" s="2" t="s">
        <v>2027</v>
      </c>
    </row>
    <row r="49" spans="1:5" x14ac:dyDescent="0.2">
      <c r="A49" s="2" t="s">
        <v>116</v>
      </c>
      <c r="B49" s="6">
        <v>45989</v>
      </c>
      <c r="C49" s="2">
        <v>27</v>
      </c>
      <c r="D49" s="2" t="s">
        <v>2025</v>
      </c>
      <c r="E49" s="2" t="s">
        <v>2026</v>
      </c>
    </row>
    <row r="50" spans="1:5" x14ac:dyDescent="0.2">
      <c r="A50" s="2" t="s">
        <v>118</v>
      </c>
      <c r="B50" s="6">
        <v>45886</v>
      </c>
      <c r="C50" s="2">
        <v>20</v>
      </c>
      <c r="D50" s="2" t="s">
        <v>2028</v>
      </c>
      <c r="E50" s="2" t="s">
        <v>2027</v>
      </c>
    </row>
    <row r="51" spans="1:5" x14ac:dyDescent="0.2">
      <c r="A51" s="2" t="s">
        <v>120</v>
      </c>
      <c r="B51" s="6">
        <v>45422</v>
      </c>
      <c r="C51" s="2">
        <v>26</v>
      </c>
      <c r="D51" s="2" t="s">
        <v>2025</v>
      </c>
      <c r="E51" s="2" t="s">
        <v>2026</v>
      </c>
    </row>
    <row r="52" spans="1:5" x14ac:dyDescent="0.2">
      <c r="A52" s="2" t="s">
        <v>122</v>
      </c>
      <c r="B52" s="6">
        <v>45749</v>
      </c>
      <c r="C52" s="2">
        <v>48</v>
      </c>
      <c r="D52" s="2" t="s">
        <v>2025</v>
      </c>
      <c r="E52" s="2" t="s">
        <v>2027</v>
      </c>
    </row>
    <row r="53" spans="1:5" x14ac:dyDescent="0.2">
      <c r="A53" s="2" t="s">
        <v>124</v>
      </c>
      <c r="B53" s="6">
        <v>45784</v>
      </c>
      <c r="C53" s="2">
        <v>46</v>
      </c>
      <c r="D53" s="2" t="s">
        <v>2025</v>
      </c>
      <c r="E53" s="2" t="s">
        <v>2027</v>
      </c>
    </row>
    <row r="54" spans="1:5" x14ac:dyDescent="0.2">
      <c r="A54" s="2" t="s">
        <v>126</v>
      </c>
      <c r="B54" s="6">
        <v>45427</v>
      </c>
      <c r="C54" s="2">
        <v>49</v>
      </c>
      <c r="D54" s="2" t="s">
        <v>2025</v>
      </c>
      <c r="E54" s="2" t="s">
        <v>2026</v>
      </c>
    </row>
    <row r="55" spans="1:5" x14ac:dyDescent="0.2">
      <c r="A55" s="2" t="s">
        <v>128</v>
      </c>
      <c r="B55" s="6">
        <v>45879</v>
      </c>
      <c r="C55" s="2">
        <v>33</v>
      </c>
      <c r="D55" s="2" t="s">
        <v>2025</v>
      </c>
      <c r="E55" s="2" t="s">
        <v>2027</v>
      </c>
    </row>
    <row r="56" spans="1:5" x14ac:dyDescent="0.2">
      <c r="A56" s="2" t="s">
        <v>130</v>
      </c>
      <c r="B56" s="6">
        <v>45929</v>
      </c>
      <c r="C56" s="2">
        <v>41</v>
      </c>
      <c r="D56" s="2" t="s">
        <v>2028</v>
      </c>
      <c r="E56" s="2" t="s">
        <v>2026</v>
      </c>
    </row>
    <row r="57" spans="1:5" x14ac:dyDescent="0.2">
      <c r="A57" s="2" t="s">
        <v>132</v>
      </c>
      <c r="B57" s="6">
        <v>45521</v>
      </c>
      <c r="C57" s="2">
        <v>42</v>
      </c>
      <c r="D57" s="2" t="s">
        <v>2025</v>
      </c>
      <c r="E57" s="2" t="s">
        <v>2027</v>
      </c>
    </row>
    <row r="58" spans="1:5" x14ac:dyDescent="0.2">
      <c r="A58" s="2" t="s">
        <v>134</v>
      </c>
      <c r="B58" s="6">
        <v>45673</v>
      </c>
      <c r="C58" s="2">
        <v>42</v>
      </c>
      <c r="D58" s="2" t="s">
        <v>2028</v>
      </c>
      <c r="E58" s="2" t="s">
        <v>2027</v>
      </c>
    </row>
    <row r="59" spans="1:5" x14ac:dyDescent="0.2">
      <c r="A59" s="2" t="s">
        <v>136</v>
      </c>
      <c r="B59" s="6">
        <v>45348</v>
      </c>
      <c r="C59" s="2">
        <v>43</v>
      </c>
      <c r="D59" s="2" t="s">
        <v>2025</v>
      </c>
      <c r="E59" s="2" t="s">
        <v>2027</v>
      </c>
    </row>
    <row r="60" spans="1:5" x14ac:dyDescent="0.2">
      <c r="A60" s="2" t="s">
        <v>138</v>
      </c>
      <c r="B60" s="6">
        <v>45491</v>
      </c>
      <c r="C60" s="2">
        <v>38</v>
      </c>
      <c r="D60" s="2" t="s">
        <v>2028</v>
      </c>
      <c r="E60" s="2" t="s">
        <v>2026</v>
      </c>
    </row>
    <row r="61" spans="1:5" x14ac:dyDescent="0.2">
      <c r="A61" s="2" t="s">
        <v>140</v>
      </c>
      <c r="B61" s="6">
        <v>45751</v>
      </c>
      <c r="C61" s="2">
        <v>44</v>
      </c>
      <c r="D61" s="2" t="s">
        <v>2028</v>
      </c>
      <c r="E61" s="2" t="s">
        <v>2027</v>
      </c>
    </row>
    <row r="62" spans="1:5" x14ac:dyDescent="0.2">
      <c r="A62" s="2" t="s">
        <v>142</v>
      </c>
      <c r="B62" s="6">
        <v>45721</v>
      </c>
      <c r="C62" s="2">
        <v>53</v>
      </c>
      <c r="D62" s="2" t="s">
        <v>2028</v>
      </c>
      <c r="E62" s="2" t="s">
        <v>2027</v>
      </c>
    </row>
    <row r="63" spans="1:5" x14ac:dyDescent="0.2">
      <c r="A63" s="2" t="s">
        <v>144</v>
      </c>
      <c r="B63" s="6">
        <v>45400</v>
      </c>
      <c r="C63" s="2">
        <v>42</v>
      </c>
      <c r="D63" s="2" t="s">
        <v>2028</v>
      </c>
      <c r="E63" s="2" t="s">
        <v>2027</v>
      </c>
    </row>
    <row r="64" spans="1:5" x14ac:dyDescent="0.2">
      <c r="A64" s="2" t="s">
        <v>146</v>
      </c>
      <c r="B64" s="6">
        <v>45651</v>
      </c>
      <c r="C64" s="2">
        <v>43</v>
      </c>
      <c r="D64" s="2" t="s">
        <v>2025</v>
      </c>
      <c r="E64" s="2" t="s">
        <v>2027</v>
      </c>
    </row>
    <row r="65" spans="1:5" x14ac:dyDescent="0.2">
      <c r="A65" s="2" t="s">
        <v>148</v>
      </c>
      <c r="B65" s="6">
        <v>45700</v>
      </c>
      <c r="C65" s="2">
        <v>24</v>
      </c>
      <c r="D65" s="2" t="s">
        <v>2029</v>
      </c>
      <c r="E65" s="2" t="s">
        <v>2027</v>
      </c>
    </row>
    <row r="66" spans="1:5" x14ac:dyDescent="0.2">
      <c r="A66" s="2" t="s">
        <v>150</v>
      </c>
      <c r="B66" s="6">
        <v>45367</v>
      </c>
      <c r="C66" s="2">
        <v>28</v>
      </c>
      <c r="D66" s="2" t="s">
        <v>2028</v>
      </c>
      <c r="E66" s="2" t="s">
        <v>2027</v>
      </c>
    </row>
    <row r="67" spans="1:5" x14ac:dyDescent="0.2">
      <c r="A67" s="2" t="s">
        <v>152</v>
      </c>
      <c r="B67" s="6">
        <v>45393</v>
      </c>
      <c r="C67" s="2">
        <v>37</v>
      </c>
      <c r="D67" s="2" t="s">
        <v>2028</v>
      </c>
      <c r="E67" s="2" t="s">
        <v>2027</v>
      </c>
    </row>
    <row r="68" spans="1:5" x14ac:dyDescent="0.2">
      <c r="A68" s="2" t="s">
        <v>154</v>
      </c>
      <c r="B68" s="6">
        <v>45535</v>
      </c>
      <c r="C68" s="2">
        <v>42</v>
      </c>
      <c r="D68" s="2" t="s">
        <v>2028</v>
      </c>
      <c r="E68" s="2" t="s">
        <v>2030</v>
      </c>
    </row>
    <row r="69" spans="1:5" x14ac:dyDescent="0.2">
      <c r="A69" s="2" t="s">
        <v>156</v>
      </c>
      <c r="B69" s="6">
        <v>45738</v>
      </c>
      <c r="C69" s="2">
        <v>54</v>
      </c>
      <c r="D69" s="2" t="s">
        <v>2025</v>
      </c>
      <c r="E69" s="2" t="s">
        <v>2026</v>
      </c>
    </row>
    <row r="70" spans="1:5" x14ac:dyDescent="0.2">
      <c r="A70" s="2" t="s">
        <v>158</v>
      </c>
      <c r="B70" s="6">
        <v>45962</v>
      </c>
      <c r="C70" s="2">
        <v>55</v>
      </c>
      <c r="D70" s="2" t="s">
        <v>2025</v>
      </c>
      <c r="E70" s="2" t="s">
        <v>2027</v>
      </c>
    </row>
    <row r="71" spans="1:5" x14ac:dyDescent="0.2">
      <c r="A71" s="2" t="s">
        <v>160</v>
      </c>
      <c r="B71" s="6">
        <v>45437</v>
      </c>
      <c r="C71" s="2">
        <v>48</v>
      </c>
      <c r="D71" s="2" t="s">
        <v>2025</v>
      </c>
      <c r="E71" s="2" t="s">
        <v>2027</v>
      </c>
    </row>
    <row r="72" spans="1:5" x14ac:dyDescent="0.2">
      <c r="A72" s="2" t="s">
        <v>162</v>
      </c>
      <c r="B72" s="6">
        <v>45798</v>
      </c>
      <c r="C72" s="2">
        <v>51</v>
      </c>
      <c r="D72" s="2" t="s">
        <v>2025</v>
      </c>
      <c r="E72" s="2" t="s">
        <v>2027</v>
      </c>
    </row>
    <row r="73" spans="1:5" x14ac:dyDescent="0.2">
      <c r="A73" s="2" t="s">
        <v>164</v>
      </c>
      <c r="B73" s="6">
        <v>45993</v>
      </c>
      <c r="C73" s="2">
        <v>48</v>
      </c>
      <c r="D73" s="2" t="s">
        <v>2025</v>
      </c>
      <c r="E73" s="2" t="s">
        <v>2030</v>
      </c>
    </row>
    <row r="74" spans="1:5" x14ac:dyDescent="0.2">
      <c r="A74" s="2" t="s">
        <v>166</v>
      </c>
      <c r="B74" s="6">
        <v>45369</v>
      </c>
      <c r="C74" s="2">
        <v>40</v>
      </c>
      <c r="D74" s="2" t="s">
        <v>2028</v>
      </c>
      <c r="E74" s="2" t="s">
        <v>2027</v>
      </c>
    </row>
    <row r="75" spans="1:5" x14ac:dyDescent="0.2">
      <c r="A75" s="2" t="s">
        <v>168</v>
      </c>
      <c r="B75" s="6">
        <v>45816</v>
      </c>
      <c r="C75" s="2">
        <v>40</v>
      </c>
      <c r="D75" s="2" t="s">
        <v>2028</v>
      </c>
      <c r="E75" s="2" t="s">
        <v>2026</v>
      </c>
    </row>
    <row r="76" spans="1:5" x14ac:dyDescent="0.2">
      <c r="A76" s="2" t="s">
        <v>170</v>
      </c>
      <c r="B76" s="6">
        <v>45506</v>
      </c>
      <c r="C76" s="2">
        <v>35</v>
      </c>
      <c r="D76" s="2" t="s">
        <v>2025</v>
      </c>
      <c r="E76" s="2" t="s">
        <v>2027</v>
      </c>
    </row>
    <row r="77" spans="1:5" x14ac:dyDescent="0.2">
      <c r="A77" s="2" t="s">
        <v>172</v>
      </c>
      <c r="B77" s="6">
        <v>45833</v>
      </c>
      <c r="C77" s="2">
        <v>51</v>
      </c>
      <c r="D77" s="2" t="s">
        <v>2025</v>
      </c>
      <c r="E77" s="2" t="s">
        <v>2027</v>
      </c>
    </row>
    <row r="78" spans="1:5" x14ac:dyDescent="0.2">
      <c r="A78" s="2" t="s">
        <v>174</v>
      </c>
      <c r="B78" s="6">
        <v>45713</v>
      </c>
      <c r="C78" s="2">
        <v>41</v>
      </c>
      <c r="D78" s="2" t="s">
        <v>2028</v>
      </c>
      <c r="E78" s="2" t="s">
        <v>2027</v>
      </c>
    </row>
    <row r="79" spans="1:5" x14ac:dyDescent="0.2">
      <c r="A79" s="2" t="s">
        <v>176</v>
      </c>
      <c r="B79" s="6">
        <v>45768</v>
      </c>
      <c r="C79" s="2">
        <v>44</v>
      </c>
      <c r="D79" s="2" t="s">
        <v>2025</v>
      </c>
      <c r="E79" s="2" t="s">
        <v>2027</v>
      </c>
    </row>
    <row r="80" spans="1:5" x14ac:dyDescent="0.2">
      <c r="A80" s="2" t="s">
        <v>178</v>
      </c>
      <c r="B80" s="6">
        <v>45457</v>
      </c>
      <c r="C80" s="2">
        <v>35</v>
      </c>
      <c r="D80" s="2" t="s">
        <v>2028</v>
      </c>
      <c r="E80" s="2" t="s">
        <v>2027</v>
      </c>
    </row>
    <row r="81" spans="1:5" x14ac:dyDescent="0.2">
      <c r="A81" s="2" t="s">
        <v>180</v>
      </c>
      <c r="B81" s="6">
        <v>45661</v>
      </c>
      <c r="C81" s="2">
        <v>41</v>
      </c>
      <c r="D81" s="2" t="s">
        <v>2028</v>
      </c>
      <c r="E81" s="2" t="s">
        <v>2026</v>
      </c>
    </row>
    <row r="82" spans="1:5" x14ac:dyDescent="0.2">
      <c r="A82" s="2" t="s">
        <v>182</v>
      </c>
      <c r="B82" s="6">
        <v>45658</v>
      </c>
      <c r="C82" s="2">
        <v>38</v>
      </c>
      <c r="D82" s="2" t="s">
        <v>2028</v>
      </c>
      <c r="E82" s="2" t="s">
        <v>2026</v>
      </c>
    </row>
    <row r="83" spans="1:5" x14ac:dyDescent="0.2">
      <c r="A83" s="2" t="s">
        <v>184</v>
      </c>
      <c r="B83" s="6">
        <v>45488</v>
      </c>
      <c r="C83" s="2">
        <v>50</v>
      </c>
      <c r="D83" s="2" t="s">
        <v>2025</v>
      </c>
      <c r="E83" s="2" t="s">
        <v>2027</v>
      </c>
    </row>
    <row r="84" spans="1:5" x14ac:dyDescent="0.2">
      <c r="A84" s="2" t="s">
        <v>186</v>
      </c>
      <c r="B84" s="6">
        <v>45934</v>
      </c>
      <c r="C84" s="2">
        <v>53</v>
      </c>
      <c r="D84" s="2" t="s">
        <v>2025</v>
      </c>
      <c r="E84" s="2" t="s">
        <v>2027</v>
      </c>
    </row>
    <row r="85" spans="1:5" x14ac:dyDescent="0.2">
      <c r="A85" s="2" t="s">
        <v>188</v>
      </c>
      <c r="B85" s="6">
        <v>45727</v>
      </c>
      <c r="C85" s="2">
        <v>30</v>
      </c>
      <c r="D85" s="2" t="s">
        <v>2025</v>
      </c>
      <c r="E85" s="2" t="s">
        <v>2027</v>
      </c>
    </row>
    <row r="86" spans="1:5" x14ac:dyDescent="0.2">
      <c r="A86" s="2" t="s">
        <v>190</v>
      </c>
      <c r="B86" s="6">
        <v>45885</v>
      </c>
      <c r="C86" s="2">
        <v>44</v>
      </c>
      <c r="D86" s="2" t="s">
        <v>2025</v>
      </c>
      <c r="E86" s="2" t="s">
        <v>2026</v>
      </c>
    </row>
    <row r="87" spans="1:5" x14ac:dyDescent="0.2">
      <c r="A87" s="2" t="s">
        <v>192</v>
      </c>
      <c r="B87" s="6">
        <v>45584</v>
      </c>
      <c r="C87" s="2">
        <v>48</v>
      </c>
      <c r="D87" s="2" t="s">
        <v>2028</v>
      </c>
      <c r="E87" s="2" t="s">
        <v>2027</v>
      </c>
    </row>
    <row r="88" spans="1:5" x14ac:dyDescent="0.2">
      <c r="A88" s="2" t="s">
        <v>194</v>
      </c>
      <c r="B88" s="6">
        <v>45859</v>
      </c>
      <c r="C88" s="2">
        <v>25</v>
      </c>
      <c r="D88" s="2" t="s">
        <v>2028</v>
      </c>
      <c r="E88" s="2" t="s">
        <v>2027</v>
      </c>
    </row>
    <row r="89" spans="1:5" x14ac:dyDescent="0.2">
      <c r="A89" s="2" t="s">
        <v>196</v>
      </c>
      <c r="B89" s="6">
        <v>45876</v>
      </c>
      <c r="C89" s="2">
        <v>42</v>
      </c>
      <c r="D89" s="2" t="s">
        <v>2025</v>
      </c>
      <c r="E89" s="2" t="s">
        <v>2027</v>
      </c>
    </row>
    <row r="90" spans="1:5" x14ac:dyDescent="0.2">
      <c r="A90" s="2" t="s">
        <v>198</v>
      </c>
      <c r="B90" s="6">
        <v>45441</v>
      </c>
      <c r="C90" s="2">
        <v>31</v>
      </c>
      <c r="D90" s="2" t="s">
        <v>2028</v>
      </c>
      <c r="E90" s="2" t="s">
        <v>2026</v>
      </c>
    </row>
    <row r="91" spans="1:5" x14ac:dyDescent="0.2">
      <c r="A91" s="2" t="s">
        <v>200</v>
      </c>
      <c r="B91" s="6">
        <v>45776</v>
      </c>
      <c r="C91" s="2">
        <v>24</v>
      </c>
      <c r="D91" s="2" t="s">
        <v>2028</v>
      </c>
      <c r="E91" s="2" t="s">
        <v>2027</v>
      </c>
    </row>
    <row r="92" spans="1:5" x14ac:dyDescent="0.2">
      <c r="A92" s="2" t="s">
        <v>202</v>
      </c>
      <c r="B92" s="6">
        <v>45869</v>
      </c>
      <c r="C92" s="2">
        <v>48</v>
      </c>
      <c r="D92" s="2" t="s">
        <v>2028</v>
      </c>
      <c r="E92" s="2" t="s">
        <v>2027</v>
      </c>
    </row>
    <row r="93" spans="1:5" x14ac:dyDescent="0.2">
      <c r="A93" s="2" t="s">
        <v>204</v>
      </c>
      <c r="B93" s="6">
        <v>45408</v>
      </c>
      <c r="C93" s="2">
        <v>51</v>
      </c>
      <c r="D93" s="2" t="s">
        <v>2025</v>
      </c>
      <c r="E93" s="2" t="s">
        <v>2026</v>
      </c>
    </row>
    <row r="94" spans="1:5" x14ac:dyDescent="0.2">
      <c r="A94" s="2" t="s">
        <v>206</v>
      </c>
      <c r="B94" s="6">
        <v>45958</v>
      </c>
      <c r="C94" s="2">
        <v>35</v>
      </c>
      <c r="D94" s="2" t="s">
        <v>2028</v>
      </c>
      <c r="E94" s="2" t="s">
        <v>2027</v>
      </c>
    </row>
    <row r="95" spans="1:5" x14ac:dyDescent="0.2">
      <c r="A95" s="2" t="s">
        <v>208</v>
      </c>
      <c r="B95" s="6">
        <v>45359</v>
      </c>
      <c r="C95" s="2">
        <v>22</v>
      </c>
      <c r="D95" s="2" t="s">
        <v>2025</v>
      </c>
      <c r="E95" s="2" t="s">
        <v>2027</v>
      </c>
    </row>
    <row r="96" spans="1:5" x14ac:dyDescent="0.2">
      <c r="A96" s="2" t="s">
        <v>210</v>
      </c>
      <c r="B96" s="6">
        <v>45794</v>
      </c>
      <c r="C96" s="2">
        <v>29</v>
      </c>
      <c r="D96" s="2" t="s">
        <v>2025</v>
      </c>
      <c r="E96" s="2" t="s">
        <v>2027</v>
      </c>
    </row>
    <row r="97" spans="1:5" x14ac:dyDescent="0.2">
      <c r="A97" s="2" t="s">
        <v>212</v>
      </c>
      <c r="B97" s="6">
        <v>45798</v>
      </c>
      <c r="C97" s="2">
        <v>51</v>
      </c>
      <c r="D97" s="2" t="s">
        <v>2025</v>
      </c>
      <c r="E97" s="2" t="s">
        <v>2026</v>
      </c>
    </row>
    <row r="98" spans="1:5" x14ac:dyDescent="0.2">
      <c r="A98" s="2" t="s">
        <v>214</v>
      </c>
      <c r="B98" s="6">
        <v>45646</v>
      </c>
      <c r="C98" s="2">
        <v>23</v>
      </c>
      <c r="D98" s="2" t="s">
        <v>2028</v>
      </c>
      <c r="E98" s="2" t="s">
        <v>2026</v>
      </c>
    </row>
    <row r="99" spans="1:5" x14ac:dyDescent="0.2">
      <c r="A99" s="2" t="s">
        <v>216</v>
      </c>
      <c r="B99" s="6">
        <v>45834</v>
      </c>
      <c r="C99" s="2">
        <v>22</v>
      </c>
      <c r="D99" s="2" t="s">
        <v>2025</v>
      </c>
      <c r="E99" s="2" t="s">
        <v>2027</v>
      </c>
    </row>
    <row r="100" spans="1:5" x14ac:dyDescent="0.2">
      <c r="A100" s="2" t="s">
        <v>218</v>
      </c>
      <c r="B100" s="6">
        <v>45544</v>
      </c>
      <c r="C100" s="2">
        <v>43</v>
      </c>
      <c r="D100" s="2" t="s">
        <v>2025</v>
      </c>
      <c r="E100" s="2" t="s">
        <v>2027</v>
      </c>
    </row>
    <row r="101" spans="1:5" x14ac:dyDescent="0.2">
      <c r="A101" s="2" t="s">
        <v>220</v>
      </c>
      <c r="B101" s="6">
        <v>45360</v>
      </c>
      <c r="C101" s="2">
        <v>22</v>
      </c>
      <c r="D101" s="2" t="s">
        <v>2028</v>
      </c>
      <c r="E101" s="2" t="s">
        <v>2027</v>
      </c>
    </row>
    <row r="102" spans="1:5" x14ac:dyDescent="0.2">
      <c r="A102" s="2" t="s">
        <v>222</v>
      </c>
      <c r="B102" s="6">
        <v>45459</v>
      </c>
      <c r="C102" s="2">
        <v>29</v>
      </c>
      <c r="D102" s="2" t="s">
        <v>2028</v>
      </c>
      <c r="E102" s="2" t="s">
        <v>2026</v>
      </c>
    </row>
    <row r="103" spans="1:5" x14ac:dyDescent="0.2">
      <c r="A103" s="2" t="s">
        <v>224</v>
      </c>
      <c r="B103" s="6">
        <v>45361</v>
      </c>
      <c r="C103" s="2">
        <v>20</v>
      </c>
      <c r="D103" s="2" t="s">
        <v>2028</v>
      </c>
      <c r="E103" s="2" t="s">
        <v>2027</v>
      </c>
    </row>
    <row r="104" spans="1:5" x14ac:dyDescent="0.2">
      <c r="A104" s="2" t="s">
        <v>226</v>
      </c>
      <c r="B104" s="6">
        <v>45649</v>
      </c>
      <c r="C104" s="2">
        <v>23</v>
      </c>
      <c r="D104" s="2" t="s">
        <v>2028</v>
      </c>
      <c r="E104" s="2" t="s">
        <v>2027</v>
      </c>
    </row>
    <row r="105" spans="1:5" x14ac:dyDescent="0.2">
      <c r="A105" s="2" t="s">
        <v>228</v>
      </c>
      <c r="B105" s="6">
        <v>45590</v>
      </c>
      <c r="C105" s="2">
        <v>49</v>
      </c>
      <c r="D105" s="2" t="s">
        <v>2028</v>
      </c>
      <c r="E105" s="2" t="s">
        <v>2030</v>
      </c>
    </row>
    <row r="106" spans="1:5" x14ac:dyDescent="0.2">
      <c r="A106" s="2" t="s">
        <v>230</v>
      </c>
      <c r="B106" s="6">
        <v>45591</v>
      </c>
      <c r="C106" s="2">
        <v>21</v>
      </c>
      <c r="D106" s="2" t="s">
        <v>2028</v>
      </c>
      <c r="E106" s="2" t="s">
        <v>2027</v>
      </c>
    </row>
    <row r="107" spans="1:5" x14ac:dyDescent="0.2">
      <c r="A107" s="2" t="s">
        <v>232</v>
      </c>
      <c r="B107" s="6">
        <v>45372</v>
      </c>
      <c r="C107" s="2">
        <v>40</v>
      </c>
      <c r="D107" s="2" t="s">
        <v>2028</v>
      </c>
      <c r="E107" s="2" t="s">
        <v>2030</v>
      </c>
    </row>
    <row r="108" spans="1:5" x14ac:dyDescent="0.2">
      <c r="A108" s="2" t="s">
        <v>234</v>
      </c>
      <c r="B108" s="6">
        <v>45587</v>
      </c>
      <c r="C108" s="2">
        <v>41</v>
      </c>
      <c r="D108" s="2" t="s">
        <v>2028</v>
      </c>
      <c r="E108" s="2" t="s">
        <v>2027</v>
      </c>
    </row>
    <row r="109" spans="1:5" x14ac:dyDescent="0.2">
      <c r="A109" s="2" t="s">
        <v>236</v>
      </c>
      <c r="B109" s="6">
        <v>45985</v>
      </c>
      <c r="C109" s="2">
        <v>32</v>
      </c>
      <c r="D109" s="2" t="s">
        <v>2028</v>
      </c>
      <c r="E109" s="2" t="s">
        <v>2027</v>
      </c>
    </row>
    <row r="110" spans="1:5" x14ac:dyDescent="0.2">
      <c r="A110" s="2" t="s">
        <v>238</v>
      </c>
      <c r="B110" s="6">
        <v>45787</v>
      </c>
      <c r="C110" s="2">
        <v>36</v>
      </c>
      <c r="D110" s="2" t="s">
        <v>2028</v>
      </c>
      <c r="E110" s="2" t="s">
        <v>2026</v>
      </c>
    </row>
    <row r="111" spans="1:5" x14ac:dyDescent="0.2">
      <c r="A111" s="2" t="s">
        <v>240</v>
      </c>
      <c r="B111" s="6">
        <v>45990</v>
      </c>
      <c r="C111" s="2">
        <v>37</v>
      </c>
      <c r="D111" s="2" t="s">
        <v>2025</v>
      </c>
      <c r="E111" s="2" t="s">
        <v>2026</v>
      </c>
    </row>
    <row r="112" spans="1:5" x14ac:dyDescent="0.2">
      <c r="A112" s="2" t="s">
        <v>242</v>
      </c>
      <c r="B112" s="6">
        <v>45953</v>
      </c>
      <c r="C112" s="2">
        <v>44</v>
      </c>
      <c r="D112" s="2" t="s">
        <v>2028</v>
      </c>
      <c r="E112" s="2" t="s">
        <v>2030</v>
      </c>
    </row>
    <row r="113" spans="1:5" x14ac:dyDescent="0.2">
      <c r="A113" s="2" t="s">
        <v>244</v>
      </c>
      <c r="B113" s="6">
        <v>45481</v>
      </c>
      <c r="C113" s="2">
        <v>28</v>
      </c>
      <c r="D113" s="2" t="s">
        <v>2028</v>
      </c>
      <c r="E113" s="2" t="s">
        <v>2026</v>
      </c>
    </row>
    <row r="114" spans="1:5" x14ac:dyDescent="0.2">
      <c r="A114" s="2" t="s">
        <v>246</v>
      </c>
      <c r="B114" s="6">
        <v>45583</v>
      </c>
      <c r="C114" s="2">
        <v>50</v>
      </c>
      <c r="D114" s="2" t="s">
        <v>2025</v>
      </c>
      <c r="E114" s="2" t="s">
        <v>2027</v>
      </c>
    </row>
    <row r="115" spans="1:5" x14ac:dyDescent="0.2">
      <c r="A115" s="2" t="s">
        <v>248</v>
      </c>
      <c r="B115" s="6">
        <v>45937</v>
      </c>
      <c r="C115" s="2">
        <v>36</v>
      </c>
      <c r="D115" s="2" t="s">
        <v>2028</v>
      </c>
      <c r="E115" s="2" t="s">
        <v>2026</v>
      </c>
    </row>
    <row r="116" spans="1:5" x14ac:dyDescent="0.2">
      <c r="A116" s="2" t="s">
        <v>250</v>
      </c>
      <c r="B116" s="6">
        <v>45372</v>
      </c>
      <c r="C116" s="2">
        <v>19</v>
      </c>
      <c r="D116" s="2" t="s">
        <v>2025</v>
      </c>
      <c r="E116" s="2" t="s">
        <v>2027</v>
      </c>
    </row>
    <row r="117" spans="1:5" x14ac:dyDescent="0.2">
      <c r="A117" s="2" t="s">
        <v>252</v>
      </c>
      <c r="B117" s="6">
        <v>45394</v>
      </c>
      <c r="C117" s="2">
        <v>21</v>
      </c>
      <c r="D117" s="2" t="s">
        <v>2028</v>
      </c>
      <c r="E117" s="2" t="s">
        <v>2026</v>
      </c>
    </row>
    <row r="118" spans="1:5" x14ac:dyDescent="0.2">
      <c r="A118" s="2" t="s">
        <v>254</v>
      </c>
      <c r="B118" s="6">
        <v>45693</v>
      </c>
      <c r="C118" s="2">
        <v>32</v>
      </c>
      <c r="D118" s="2" t="s">
        <v>2028</v>
      </c>
      <c r="E118" s="2" t="s">
        <v>2027</v>
      </c>
    </row>
    <row r="119" spans="1:5" x14ac:dyDescent="0.2">
      <c r="A119" s="2" t="s">
        <v>256</v>
      </c>
      <c r="B119" s="6">
        <v>45608</v>
      </c>
      <c r="C119" s="2">
        <v>48</v>
      </c>
      <c r="D119" s="2" t="s">
        <v>2025</v>
      </c>
      <c r="E119" s="2" t="s">
        <v>2026</v>
      </c>
    </row>
    <row r="120" spans="1:5" x14ac:dyDescent="0.2">
      <c r="A120" s="2" t="s">
        <v>258</v>
      </c>
      <c r="B120" s="6">
        <v>45649</v>
      </c>
      <c r="C120" s="2">
        <v>46</v>
      </c>
      <c r="D120" s="2" t="s">
        <v>2025</v>
      </c>
      <c r="E120" s="2" t="s">
        <v>2027</v>
      </c>
    </row>
    <row r="121" spans="1:5" x14ac:dyDescent="0.2">
      <c r="A121" s="2" t="s">
        <v>260</v>
      </c>
      <c r="B121" s="6">
        <v>45432</v>
      </c>
      <c r="C121" s="2">
        <v>27</v>
      </c>
      <c r="D121" s="2" t="s">
        <v>2025</v>
      </c>
      <c r="E121" s="2" t="s">
        <v>2030</v>
      </c>
    </row>
    <row r="122" spans="1:5" x14ac:dyDescent="0.2">
      <c r="A122" s="2" t="s">
        <v>262</v>
      </c>
      <c r="B122" s="6">
        <v>45904</v>
      </c>
      <c r="C122" s="2">
        <v>23</v>
      </c>
      <c r="D122" s="2" t="s">
        <v>2028</v>
      </c>
      <c r="E122" s="2" t="s">
        <v>2027</v>
      </c>
    </row>
    <row r="123" spans="1:5" x14ac:dyDescent="0.2">
      <c r="A123" s="2" t="s">
        <v>264</v>
      </c>
      <c r="B123" s="6">
        <v>45738</v>
      </c>
      <c r="C123" s="2">
        <v>18</v>
      </c>
      <c r="D123" s="2" t="s">
        <v>2028</v>
      </c>
      <c r="E123" s="2" t="s">
        <v>2027</v>
      </c>
    </row>
    <row r="124" spans="1:5" x14ac:dyDescent="0.2">
      <c r="A124" s="2" t="s">
        <v>266</v>
      </c>
      <c r="B124" s="6">
        <v>45367</v>
      </c>
      <c r="C124" s="2">
        <v>55</v>
      </c>
      <c r="D124" s="2" t="s">
        <v>2028</v>
      </c>
      <c r="E124" s="2" t="s">
        <v>2026</v>
      </c>
    </row>
    <row r="125" spans="1:5" x14ac:dyDescent="0.2">
      <c r="A125" s="2" t="s">
        <v>268</v>
      </c>
      <c r="B125" s="6">
        <v>45617</v>
      </c>
      <c r="C125" s="2">
        <v>40</v>
      </c>
      <c r="D125" s="2" t="s">
        <v>2028</v>
      </c>
      <c r="E125" s="2" t="s">
        <v>2026</v>
      </c>
    </row>
    <row r="126" spans="1:5" x14ac:dyDescent="0.2">
      <c r="A126" s="2" t="s">
        <v>270</v>
      </c>
      <c r="B126" s="6">
        <v>45796</v>
      </c>
      <c r="C126" s="2">
        <v>19</v>
      </c>
      <c r="D126" s="2" t="s">
        <v>2028</v>
      </c>
      <c r="E126" s="2" t="s">
        <v>2026</v>
      </c>
    </row>
    <row r="127" spans="1:5" x14ac:dyDescent="0.2">
      <c r="A127" s="2" t="s">
        <v>272</v>
      </c>
      <c r="B127" s="6">
        <v>45863</v>
      </c>
      <c r="C127" s="2">
        <v>40</v>
      </c>
      <c r="D127" s="2" t="s">
        <v>2028</v>
      </c>
      <c r="E127" s="2" t="s">
        <v>2027</v>
      </c>
    </row>
    <row r="128" spans="1:5" x14ac:dyDescent="0.2">
      <c r="A128" s="2" t="s">
        <v>274</v>
      </c>
      <c r="B128" s="6">
        <v>45829</v>
      </c>
      <c r="C128" s="2">
        <v>31</v>
      </c>
      <c r="D128" s="2" t="s">
        <v>2028</v>
      </c>
      <c r="E128" s="2" t="s">
        <v>2030</v>
      </c>
    </row>
    <row r="129" spans="1:5" x14ac:dyDescent="0.2">
      <c r="A129" s="2" t="s">
        <v>276</v>
      </c>
      <c r="B129" s="6">
        <v>45694</v>
      </c>
      <c r="C129" s="2">
        <v>33</v>
      </c>
      <c r="D129" s="2" t="s">
        <v>2028</v>
      </c>
      <c r="E129" s="2" t="s">
        <v>2027</v>
      </c>
    </row>
    <row r="130" spans="1:5" x14ac:dyDescent="0.2">
      <c r="A130" s="2" t="s">
        <v>278</v>
      </c>
      <c r="B130" s="6">
        <v>45663</v>
      </c>
      <c r="C130" s="2">
        <v>33</v>
      </c>
      <c r="D130" s="2" t="s">
        <v>2025</v>
      </c>
      <c r="E130" s="2" t="s">
        <v>2027</v>
      </c>
    </row>
    <row r="131" spans="1:5" x14ac:dyDescent="0.2">
      <c r="A131" s="2" t="s">
        <v>280</v>
      </c>
      <c r="B131" s="6">
        <v>45833</v>
      </c>
      <c r="C131" s="2">
        <v>21</v>
      </c>
      <c r="D131" s="2" t="s">
        <v>2028</v>
      </c>
      <c r="E131" s="2" t="s">
        <v>2027</v>
      </c>
    </row>
    <row r="132" spans="1:5" x14ac:dyDescent="0.2">
      <c r="A132" s="2" t="s">
        <v>282</v>
      </c>
      <c r="B132" s="6">
        <v>45413</v>
      </c>
      <c r="C132" s="2">
        <v>40</v>
      </c>
      <c r="D132" s="2" t="s">
        <v>2028</v>
      </c>
      <c r="E132" s="2" t="s">
        <v>2030</v>
      </c>
    </row>
    <row r="133" spans="1:5" x14ac:dyDescent="0.2">
      <c r="A133" s="2" t="s">
        <v>284</v>
      </c>
      <c r="B133" s="6">
        <v>45555</v>
      </c>
      <c r="C133" s="2">
        <v>44</v>
      </c>
      <c r="D133" s="2" t="s">
        <v>2025</v>
      </c>
      <c r="E133" s="2" t="s">
        <v>2027</v>
      </c>
    </row>
    <row r="134" spans="1:5" x14ac:dyDescent="0.2">
      <c r="A134" s="2" t="s">
        <v>286</v>
      </c>
      <c r="B134" s="6">
        <v>45914</v>
      </c>
      <c r="C134" s="2">
        <v>24</v>
      </c>
      <c r="D134" s="2" t="s">
        <v>2028</v>
      </c>
      <c r="E134" s="2" t="s">
        <v>2027</v>
      </c>
    </row>
    <row r="135" spans="1:5" x14ac:dyDescent="0.2">
      <c r="A135" s="2" t="s">
        <v>288</v>
      </c>
      <c r="B135" s="6">
        <v>45750</v>
      </c>
      <c r="C135" s="2">
        <v>34</v>
      </c>
      <c r="D135" s="2" t="s">
        <v>2025</v>
      </c>
      <c r="E135" s="2" t="s">
        <v>2026</v>
      </c>
    </row>
    <row r="136" spans="1:5" x14ac:dyDescent="0.2">
      <c r="A136" s="2" t="s">
        <v>290</v>
      </c>
      <c r="B136" s="6">
        <v>45783</v>
      </c>
      <c r="C136" s="2">
        <v>52</v>
      </c>
      <c r="D136" s="2" t="s">
        <v>2025</v>
      </c>
      <c r="E136" s="2" t="s">
        <v>2027</v>
      </c>
    </row>
    <row r="137" spans="1:5" x14ac:dyDescent="0.2">
      <c r="A137" s="2" t="s">
        <v>292</v>
      </c>
      <c r="B137" s="6">
        <v>45585</v>
      </c>
      <c r="C137" s="2">
        <v>43</v>
      </c>
      <c r="D137" s="2" t="s">
        <v>2028</v>
      </c>
      <c r="E137" s="2" t="s">
        <v>2027</v>
      </c>
    </row>
    <row r="138" spans="1:5" x14ac:dyDescent="0.2">
      <c r="A138" s="2" t="s">
        <v>294</v>
      </c>
      <c r="B138" s="6">
        <v>45583</v>
      </c>
      <c r="C138" s="2">
        <v>44</v>
      </c>
      <c r="D138" s="2" t="s">
        <v>2025</v>
      </c>
      <c r="E138" s="2" t="s">
        <v>2030</v>
      </c>
    </row>
    <row r="139" spans="1:5" x14ac:dyDescent="0.2">
      <c r="A139" s="2" t="s">
        <v>296</v>
      </c>
      <c r="B139" s="6">
        <v>45707</v>
      </c>
      <c r="C139" s="2">
        <v>29</v>
      </c>
      <c r="D139" s="2" t="s">
        <v>2025</v>
      </c>
      <c r="E139" s="2" t="s">
        <v>2027</v>
      </c>
    </row>
    <row r="140" spans="1:5" x14ac:dyDescent="0.2">
      <c r="A140" s="2" t="s">
        <v>298</v>
      </c>
      <c r="B140" s="6">
        <v>45588</v>
      </c>
      <c r="C140" s="2">
        <v>33</v>
      </c>
      <c r="D140" s="2" t="s">
        <v>2028</v>
      </c>
      <c r="E140" s="2" t="s">
        <v>2027</v>
      </c>
    </row>
    <row r="141" spans="1:5" x14ac:dyDescent="0.2">
      <c r="A141" s="2" t="s">
        <v>300</v>
      </c>
      <c r="B141" s="6">
        <v>45763</v>
      </c>
      <c r="C141" s="2">
        <v>22</v>
      </c>
      <c r="D141" s="2" t="s">
        <v>2025</v>
      </c>
      <c r="E141" s="2" t="s">
        <v>2027</v>
      </c>
    </row>
    <row r="142" spans="1:5" x14ac:dyDescent="0.2">
      <c r="A142" s="2" t="s">
        <v>302</v>
      </c>
      <c r="B142" s="6">
        <v>45829</v>
      </c>
      <c r="C142" s="2">
        <v>43</v>
      </c>
      <c r="D142" s="2" t="s">
        <v>2028</v>
      </c>
      <c r="E142" s="2" t="s">
        <v>2027</v>
      </c>
    </row>
    <row r="143" spans="1:5" x14ac:dyDescent="0.2">
      <c r="A143" s="2" t="s">
        <v>304</v>
      </c>
      <c r="B143" s="6">
        <v>45650</v>
      </c>
      <c r="C143" s="2">
        <v>27</v>
      </c>
      <c r="D143" s="2" t="s">
        <v>2028</v>
      </c>
      <c r="E143" s="2" t="s">
        <v>2026</v>
      </c>
    </row>
    <row r="144" spans="1:5" x14ac:dyDescent="0.2">
      <c r="A144" s="2" t="s">
        <v>306</v>
      </c>
      <c r="B144" s="6">
        <v>45536</v>
      </c>
      <c r="C144" s="2">
        <v>44</v>
      </c>
      <c r="D144" s="2" t="s">
        <v>2028</v>
      </c>
      <c r="E144" s="2" t="s">
        <v>2026</v>
      </c>
    </row>
    <row r="145" spans="1:5" x14ac:dyDescent="0.2">
      <c r="A145" s="2" t="s">
        <v>308</v>
      </c>
      <c r="B145" s="6">
        <v>45837</v>
      </c>
      <c r="C145" s="2">
        <v>29</v>
      </c>
      <c r="D145" s="2" t="s">
        <v>2028</v>
      </c>
      <c r="E145" s="2" t="s">
        <v>2027</v>
      </c>
    </row>
    <row r="146" spans="1:5" x14ac:dyDescent="0.2">
      <c r="A146" s="2" t="s">
        <v>310</v>
      </c>
      <c r="B146" s="6">
        <v>45955</v>
      </c>
      <c r="C146" s="2">
        <v>38</v>
      </c>
      <c r="D146" s="2" t="s">
        <v>2028</v>
      </c>
      <c r="E146" s="2" t="s">
        <v>2027</v>
      </c>
    </row>
    <row r="147" spans="1:5" x14ac:dyDescent="0.2">
      <c r="A147" s="2" t="s">
        <v>312</v>
      </c>
      <c r="B147" s="6">
        <v>45535</v>
      </c>
      <c r="C147" s="2">
        <v>31</v>
      </c>
      <c r="D147" s="2" t="s">
        <v>2025</v>
      </c>
      <c r="E147" s="2" t="s">
        <v>2026</v>
      </c>
    </row>
    <row r="148" spans="1:5" x14ac:dyDescent="0.2">
      <c r="A148" s="2" t="s">
        <v>314</v>
      </c>
      <c r="B148" s="6">
        <v>45640</v>
      </c>
      <c r="C148" s="2">
        <v>53</v>
      </c>
      <c r="D148" s="2" t="s">
        <v>2028</v>
      </c>
      <c r="E148" s="2" t="s">
        <v>2030</v>
      </c>
    </row>
    <row r="149" spans="1:5" x14ac:dyDescent="0.2">
      <c r="A149" s="2" t="s">
        <v>316</v>
      </c>
      <c r="B149" s="6">
        <v>45531</v>
      </c>
      <c r="C149" s="2">
        <v>26</v>
      </c>
      <c r="D149" s="2" t="s">
        <v>2025</v>
      </c>
      <c r="E149" s="2" t="s">
        <v>2026</v>
      </c>
    </row>
    <row r="150" spans="1:5" x14ac:dyDescent="0.2">
      <c r="A150" s="2" t="s">
        <v>318</v>
      </c>
      <c r="B150" s="6">
        <v>45970</v>
      </c>
      <c r="C150" s="2">
        <v>31</v>
      </c>
      <c r="D150" s="2" t="s">
        <v>2025</v>
      </c>
      <c r="E150" s="2" t="s">
        <v>2026</v>
      </c>
    </row>
    <row r="151" spans="1:5" x14ac:dyDescent="0.2">
      <c r="A151" s="2" t="s">
        <v>320</v>
      </c>
      <c r="B151" s="6">
        <v>45352</v>
      </c>
      <c r="C151" s="2">
        <v>45</v>
      </c>
      <c r="D151" s="2" t="s">
        <v>2028</v>
      </c>
      <c r="E151" s="2" t="s">
        <v>2026</v>
      </c>
    </row>
    <row r="152" spans="1:5" x14ac:dyDescent="0.2">
      <c r="A152" s="2" t="s">
        <v>322</v>
      </c>
      <c r="B152" s="6">
        <v>45405</v>
      </c>
      <c r="C152" s="2">
        <v>30</v>
      </c>
      <c r="D152" s="2" t="s">
        <v>2025</v>
      </c>
      <c r="E152" s="2" t="s">
        <v>2026</v>
      </c>
    </row>
    <row r="153" spans="1:5" x14ac:dyDescent="0.2">
      <c r="A153" s="2" t="s">
        <v>324</v>
      </c>
      <c r="B153" s="6">
        <v>45873</v>
      </c>
      <c r="C153" s="2">
        <v>52</v>
      </c>
      <c r="D153" s="2" t="s">
        <v>2028</v>
      </c>
      <c r="E153" s="2" t="s">
        <v>2026</v>
      </c>
    </row>
    <row r="154" spans="1:5" x14ac:dyDescent="0.2">
      <c r="A154" s="2" t="s">
        <v>326</v>
      </c>
      <c r="B154" s="6">
        <v>45774</v>
      </c>
      <c r="C154" s="2">
        <v>31</v>
      </c>
      <c r="D154" s="2" t="s">
        <v>2028</v>
      </c>
      <c r="E154" s="2" t="s">
        <v>2027</v>
      </c>
    </row>
    <row r="155" spans="1:5" x14ac:dyDescent="0.2">
      <c r="A155" s="2" t="s">
        <v>328</v>
      </c>
      <c r="B155" s="6">
        <v>45627</v>
      </c>
      <c r="C155" s="2">
        <v>21</v>
      </c>
      <c r="D155" s="2" t="s">
        <v>2028</v>
      </c>
      <c r="E155" s="2" t="s">
        <v>2027</v>
      </c>
    </row>
    <row r="156" spans="1:5" x14ac:dyDescent="0.2">
      <c r="A156" s="2" t="s">
        <v>330</v>
      </c>
      <c r="B156" s="6">
        <v>45840</v>
      </c>
      <c r="C156" s="2">
        <v>43</v>
      </c>
      <c r="D156" s="2" t="s">
        <v>2025</v>
      </c>
      <c r="E156" s="2" t="s">
        <v>2027</v>
      </c>
    </row>
    <row r="157" spans="1:5" x14ac:dyDescent="0.2">
      <c r="A157" s="2" t="s">
        <v>332</v>
      </c>
      <c r="B157" s="6">
        <v>45728</v>
      </c>
      <c r="C157" s="2">
        <v>33</v>
      </c>
      <c r="D157" s="2" t="s">
        <v>2028</v>
      </c>
      <c r="E157" s="2" t="s">
        <v>2027</v>
      </c>
    </row>
    <row r="158" spans="1:5" x14ac:dyDescent="0.2">
      <c r="A158" s="2" t="s">
        <v>334</v>
      </c>
      <c r="B158" s="6">
        <v>45606</v>
      </c>
      <c r="C158" s="2">
        <v>29</v>
      </c>
      <c r="D158" s="2" t="s">
        <v>2029</v>
      </c>
      <c r="E158" s="2" t="s">
        <v>2027</v>
      </c>
    </row>
    <row r="159" spans="1:5" x14ac:dyDescent="0.2">
      <c r="A159" s="2" t="s">
        <v>336</v>
      </c>
      <c r="B159" s="6">
        <v>45892</v>
      </c>
      <c r="C159" s="2">
        <v>30</v>
      </c>
      <c r="D159" s="2" t="s">
        <v>2028</v>
      </c>
      <c r="E159" s="2" t="s">
        <v>2026</v>
      </c>
    </row>
    <row r="160" spans="1:5" x14ac:dyDescent="0.2">
      <c r="A160" s="2" t="s">
        <v>338</v>
      </c>
      <c r="B160" s="6">
        <v>45638</v>
      </c>
      <c r="C160" s="2">
        <v>27</v>
      </c>
      <c r="D160" s="2" t="s">
        <v>2028</v>
      </c>
      <c r="E160" s="2" t="s">
        <v>2026</v>
      </c>
    </row>
    <row r="161" spans="1:5" x14ac:dyDescent="0.2">
      <c r="A161" s="2" t="s">
        <v>340</v>
      </c>
      <c r="B161" s="6">
        <v>45972</v>
      </c>
      <c r="C161" s="2">
        <v>35</v>
      </c>
      <c r="D161" s="2" t="s">
        <v>2028</v>
      </c>
      <c r="E161" s="2" t="s">
        <v>2026</v>
      </c>
    </row>
    <row r="162" spans="1:5" x14ac:dyDescent="0.2">
      <c r="A162" s="2" t="s">
        <v>342</v>
      </c>
      <c r="B162" s="6">
        <v>45603</v>
      </c>
      <c r="C162" s="2">
        <v>19</v>
      </c>
      <c r="D162" s="2" t="s">
        <v>2028</v>
      </c>
      <c r="E162" s="2" t="s">
        <v>2027</v>
      </c>
    </row>
    <row r="163" spans="1:5" x14ac:dyDescent="0.2">
      <c r="A163" s="2" t="s">
        <v>344</v>
      </c>
      <c r="B163" s="6">
        <v>45691</v>
      </c>
      <c r="C163" s="2">
        <v>26</v>
      </c>
      <c r="D163" s="2" t="s">
        <v>2025</v>
      </c>
      <c r="E163" s="2" t="s">
        <v>2027</v>
      </c>
    </row>
    <row r="164" spans="1:5" x14ac:dyDescent="0.2">
      <c r="A164" s="2" t="s">
        <v>346</v>
      </c>
      <c r="B164" s="6">
        <v>45928</v>
      </c>
      <c r="C164" s="2">
        <v>28</v>
      </c>
      <c r="D164" s="2" t="s">
        <v>2028</v>
      </c>
      <c r="E164" s="2" t="s">
        <v>2027</v>
      </c>
    </row>
    <row r="165" spans="1:5" x14ac:dyDescent="0.2">
      <c r="A165" s="2" t="s">
        <v>348</v>
      </c>
      <c r="B165" s="6">
        <v>45561</v>
      </c>
      <c r="C165" s="2">
        <v>34</v>
      </c>
      <c r="D165" s="2" t="s">
        <v>2028</v>
      </c>
      <c r="E165" s="2" t="s">
        <v>2026</v>
      </c>
    </row>
    <row r="166" spans="1:5" x14ac:dyDescent="0.2">
      <c r="A166" s="2" t="s">
        <v>350</v>
      </c>
      <c r="B166" s="6">
        <v>45932</v>
      </c>
      <c r="C166" s="2">
        <v>40</v>
      </c>
      <c r="D166" s="2" t="s">
        <v>2028</v>
      </c>
      <c r="E166" s="2" t="s">
        <v>2026</v>
      </c>
    </row>
    <row r="167" spans="1:5" x14ac:dyDescent="0.2">
      <c r="A167" s="2" t="s">
        <v>352</v>
      </c>
      <c r="B167" s="6">
        <v>45921</v>
      </c>
      <c r="C167" s="2">
        <v>52</v>
      </c>
      <c r="D167" s="2" t="s">
        <v>2025</v>
      </c>
      <c r="E167" s="2" t="s">
        <v>2027</v>
      </c>
    </row>
    <row r="168" spans="1:5" x14ac:dyDescent="0.2">
      <c r="A168" s="2" t="s">
        <v>354</v>
      </c>
      <c r="B168" s="6">
        <v>45779</v>
      </c>
      <c r="C168" s="2">
        <v>31</v>
      </c>
      <c r="D168" s="2" t="s">
        <v>2025</v>
      </c>
      <c r="E168" s="2" t="s">
        <v>2027</v>
      </c>
    </row>
    <row r="169" spans="1:5" x14ac:dyDescent="0.2">
      <c r="A169" s="2" t="s">
        <v>356</v>
      </c>
      <c r="B169" s="6">
        <v>45614</v>
      </c>
      <c r="C169" s="2">
        <v>44</v>
      </c>
      <c r="D169" s="2" t="s">
        <v>2028</v>
      </c>
      <c r="E169" s="2" t="s">
        <v>2027</v>
      </c>
    </row>
    <row r="170" spans="1:5" x14ac:dyDescent="0.2">
      <c r="A170" s="2" t="s">
        <v>358</v>
      </c>
      <c r="B170" s="6">
        <v>45475</v>
      </c>
      <c r="C170" s="2">
        <v>53</v>
      </c>
      <c r="D170" s="2" t="s">
        <v>2028</v>
      </c>
      <c r="E170" s="2" t="s">
        <v>2027</v>
      </c>
    </row>
    <row r="171" spans="1:5" x14ac:dyDescent="0.2">
      <c r="A171" s="2" t="s">
        <v>360</v>
      </c>
      <c r="B171" s="6">
        <v>45753</v>
      </c>
      <c r="C171" s="2">
        <v>29</v>
      </c>
      <c r="D171" s="2" t="s">
        <v>2028</v>
      </c>
      <c r="E171" s="2" t="s">
        <v>2027</v>
      </c>
    </row>
    <row r="172" spans="1:5" x14ac:dyDescent="0.2">
      <c r="A172" s="2" t="s">
        <v>362</v>
      </c>
      <c r="B172" s="6">
        <v>45848</v>
      </c>
      <c r="C172" s="2">
        <v>49</v>
      </c>
      <c r="D172" s="2" t="s">
        <v>2025</v>
      </c>
      <c r="E172" s="2" t="s">
        <v>2027</v>
      </c>
    </row>
    <row r="173" spans="1:5" x14ac:dyDescent="0.2">
      <c r="A173" s="2" t="s">
        <v>364</v>
      </c>
      <c r="B173" s="6">
        <v>45788</v>
      </c>
      <c r="C173" s="2">
        <v>49</v>
      </c>
      <c r="D173" s="2" t="s">
        <v>2029</v>
      </c>
      <c r="E173" s="2" t="s">
        <v>2026</v>
      </c>
    </row>
    <row r="174" spans="1:5" x14ac:dyDescent="0.2">
      <c r="A174" s="2" t="s">
        <v>366</v>
      </c>
      <c r="B174" s="6">
        <v>45832</v>
      </c>
      <c r="C174" s="2">
        <v>27</v>
      </c>
      <c r="D174" s="2" t="s">
        <v>2028</v>
      </c>
      <c r="E174" s="2" t="s">
        <v>2027</v>
      </c>
    </row>
    <row r="175" spans="1:5" x14ac:dyDescent="0.2">
      <c r="A175" s="2" t="s">
        <v>368</v>
      </c>
      <c r="B175" s="6">
        <v>45572</v>
      </c>
      <c r="C175" s="2">
        <v>35</v>
      </c>
      <c r="D175" s="2" t="s">
        <v>2025</v>
      </c>
      <c r="E175" s="2" t="s">
        <v>2027</v>
      </c>
    </row>
    <row r="176" spans="1:5" x14ac:dyDescent="0.2">
      <c r="A176" s="2" t="s">
        <v>370</v>
      </c>
      <c r="B176" s="6">
        <v>45394</v>
      </c>
      <c r="C176" s="2">
        <v>44</v>
      </c>
      <c r="D176" s="2" t="s">
        <v>2028</v>
      </c>
      <c r="E176" s="2" t="s">
        <v>2027</v>
      </c>
    </row>
    <row r="177" spans="1:5" x14ac:dyDescent="0.2">
      <c r="A177" s="2" t="s">
        <v>372</v>
      </c>
      <c r="B177" s="6">
        <v>45729</v>
      </c>
      <c r="C177" s="2">
        <v>18</v>
      </c>
      <c r="D177" s="2" t="s">
        <v>2025</v>
      </c>
      <c r="E177" s="2" t="s">
        <v>2026</v>
      </c>
    </row>
    <row r="178" spans="1:5" x14ac:dyDescent="0.2">
      <c r="A178" s="2" t="s">
        <v>374</v>
      </c>
      <c r="B178" s="6">
        <v>45856</v>
      </c>
      <c r="C178" s="2">
        <v>47</v>
      </c>
      <c r="D178" s="2" t="s">
        <v>2028</v>
      </c>
      <c r="E178" s="2" t="s">
        <v>2026</v>
      </c>
    </row>
    <row r="179" spans="1:5" x14ac:dyDescent="0.2">
      <c r="A179" s="2" t="s">
        <v>376</v>
      </c>
      <c r="B179" s="6">
        <v>45982</v>
      </c>
      <c r="C179" s="2">
        <v>28</v>
      </c>
      <c r="D179" s="2" t="s">
        <v>2028</v>
      </c>
      <c r="E179" s="2" t="s">
        <v>2027</v>
      </c>
    </row>
    <row r="180" spans="1:5" x14ac:dyDescent="0.2">
      <c r="A180" s="2" t="s">
        <v>378</v>
      </c>
      <c r="B180" s="6">
        <v>45733</v>
      </c>
      <c r="C180" s="2">
        <v>22</v>
      </c>
      <c r="D180" s="2" t="s">
        <v>2025</v>
      </c>
      <c r="E180" s="2" t="s">
        <v>2026</v>
      </c>
    </row>
    <row r="181" spans="1:5" x14ac:dyDescent="0.2">
      <c r="A181" s="2" t="s">
        <v>380</v>
      </c>
      <c r="B181" s="6">
        <v>45630</v>
      </c>
      <c r="C181" s="2">
        <v>27</v>
      </c>
      <c r="D181" s="2" t="s">
        <v>2028</v>
      </c>
      <c r="E181" s="2" t="s">
        <v>2026</v>
      </c>
    </row>
    <row r="182" spans="1:5" x14ac:dyDescent="0.2">
      <c r="A182" s="2" t="s">
        <v>382</v>
      </c>
      <c r="B182" s="6">
        <v>45965</v>
      </c>
      <c r="C182" s="2">
        <v>52</v>
      </c>
      <c r="D182" s="2" t="s">
        <v>2028</v>
      </c>
      <c r="E182" s="2" t="s">
        <v>2027</v>
      </c>
    </row>
    <row r="183" spans="1:5" x14ac:dyDescent="0.2">
      <c r="A183" s="2" t="s">
        <v>384</v>
      </c>
      <c r="B183" s="6">
        <v>45973</v>
      </c>
      <c r="C183" s="2">
        <v>50</v>
      </c>
      <c r="D183" s="2" t="s">
        <v>2028</v>
      </c>
      <c r="E183" s="2" t="s">
        <v>2026</v>
      </c>
    </row>
    <row r="184" spans="1:5" x14ac:dyDescent="0.2">
      <c r="A184" s="2" t="s">
        <v>386</v>
      </c>
      <c r="B184" s="6">
        <v>45434</v>
      </c>
      <c r="C184" s="2">
        <v>50</v>
      </c>
      <c r="D184" s="2" t="s">
        <v>2028</v>
      </c>
      <c r="E184" s="2" t="s">
        <v>2027</v>
      </c>
    </row>
    <row r="185" spans="1:5" x14ac:dyDescent="0.2">
      <c r="A185" s="2" t="s">
        <v>388</v>
      </c>
      <c r="B185" s="6">
        <v>45508</v>
      </c>
      <c r="C185" s="2">
        <v>22</v>
      </c>
      <c r="D185" s="2" t="s">
        <v>2028</v>
      </c>
      <c r="E185" s="2" t="s">
        <v>2026</v>
      </c>
    </row>
    <row r="186" spans="1:5" x14ac:dyDescent="0.2">
      <c r="A186" s="2" t="s">
        <v>390</v>
      </c>
      <c r="B186" s="6">
        <v>45639</v>
      </c>
      <c r="C186" s="2">
        <v>29</v>
      </c>
      <c r="D186" s="2" t="s">
        <v>2025</v>
      </c>
      <c r="E186" s="2" t="s">
        <v>2027</v>
      </c>
    </row>
    <row r="187" spans="1:5" x14ac:dyDescent="0.2">
      <c r="A187" s="2" t="s">
        <v>392</v>
      </c>
      <c r="B187" s="6">
        <v>45527</v>
      </c>
      <c r="C187" s="2">
        <v>34</v>
      </c>
      <c r="D187" s="2" t="s">
        <v>2028</v>
      </c>
      <c r="E187" s="2" t="s">
        <v>2027</v>
      </c>
    </row>
    <row r="188" spans="1:5" x14ac:dyDescent="0.2">
      <c r="A188" s="2" t="s">
        <v>394</v>
      </c>
      <c r="B188" s="6">
        <v>45960</v>
      </c>
      <c r="C188" s="2">
        <v>39</v>
      </c>
      <c r="D188" s="2" t="s">
        <v>2028</v>
      </c>
      <c r="E188" s="2" t="s">
        <v>2027</v>
      </c>
    </row>
    <row r="189" spans="1:5" x14ac:dyDescent="0.2">
      <c r="A189" s="2" t="s">
        <v>396</v>
      </c>
      <c r="B189" s="6">
        <v>45971</v>
      </c>
      <c r="C189" s="2">
        <v>31</v>
      </c>
      <c r="D189" s="2" t="s">
        <v>2028</v>
      </c>
      <c r="E189" s="2" t="s">
        <v>2027</v>
      </c>
    </row>
    <row r="190" spans="1:5" x14ac:dyDescent="0.2">
      <c r="A190" s="2" t="s">
        <v>398</v>
      </c>
      <c r="B190" s="6">
        <v>45891</v>
      </c>
      <c r="C190" s="2">
        <v>32</v>
      </c>
      <c r="D190" s="2" t="s">
        <v>2028</v>
      </c>
      <c r="E190" s="2" t="s">
        <v>2026</v>
      </c>
    </row>
    <row r="191" spans="1:5" x14ac:dyDescent="0.2">
      <c r="A191" s="2" t="s">
        <v>400</v>
      </c>
      <c r="B191" s="6">
        <v>45747</v>
      </c>
      <c r="C191" s="2">
        <v>43</v>
      </c>
      <c r="D191" s="2" t="s">
        <v>2028</v>
      </c>
      <c r="E191" s="2" t="s">
        <v>2027</v>
      </c>
    </row>
    <row r="192" spans="1:5" x14ac:dyDescent="0.2">
      <c r="A192" s="2" t="s">
        <v>402</v>
      </c>
      <c r="B192" s="6">
        <v>45412</v>
      </c>
      <c r="C192" s="2">
        <v>39</v>
      </c>
      <c r="D192" s="2" t="s">
        <v>2028</v>
      </c>
      <c r="E192" s="2" t="s">
        <v>2027</v>
      </c>
    </row>
    <row r="193" spans="1:5" x14ac:dyDescent="0.2">
      <c r="A193" s="2" t="s">
        <v>404</v>
      </c>
      <c r="B193" s="6">
        <v>45619</v>
      </c>
      <c r="C193" s="2">
        <v>50</v>
      </c>
      <c r="D193" s="2" t="s">
        <v>2028</v>
      </c>
      <c r="E193" s="2" t="s">
        <v>2027</v>
      </c>
    </row>
    <row r="194" spans="1:5" x14ac:dyDescent="0.2">
      <c r="A194" s="2" t="s">
        <v>406</v>
      </c>
      <c r="B194" s="6">
        <v>45855</v>
      </c>
      <c r="C194" s="2">
        <v>26</v>
      </c>
      <c r="D194" s="2" t="s">
        <v>2025</v>
      </c>
      <c r="E194" s="2" t="s">
        <v>2026</v>
      </c>
    </row>
    <row r="195" spans="1:5" x14ac:dyDescent="0.2">
      <c r="A195" s="2" t="s">
        <v>408</v>
      </c>
      <c r="B195" s="6">
        <v>45626</v>
      </c>
      <c r="C195" s="2">
        <v>50</v>
      </c>
      <c r="D195" s="2" t="s">
        <v>2025</v>
      </c>
      <c r="E195" s="2" t="s">
        <v>2027</v>
      </c>
    </row>
    <row r="196" spans="1:5" x14ac:dyDescent="0.2">
      <c r="A196" s="2" t="s">
        <v>410</v>
      </c>
      <c r="B196" s="6">
        <v>45629</v>
      </c>
      <c r="C196" s="2">
        <v>19</v>
      </c>
      <c r="D196" s="2" t="s">
        <v>2028</v>
      </c>
      <c r="E196" s="2" t="s">
        <v>2030</v>
      </c>
    </row>
    <row r="197" spans="1:5" x14ac:dyDescent="0.2">
      <c r="A197" s="2" t="s">
        <v>412</v>
      </c>
      <c r="B197" s="6">
        <v>45501</v>
      </c>
      <c r="C197" s="2">
        <v>53</v>
      </c>
      <c r="D197" s="2" t="s">
        <v>2025</v>
      </c>
      <c r="E197" s="2" t="s">
        <v>2027</v>
      </c>
    </row>
    <row r="198" spans="1:5" x14ac:dyDescent="0.2">
      <c r="A198" s="2" t="s">
        <v>414</v>
      </c>
      <c r="B198" s="6">
        <v>45731</v>
      </c>
      <c r="C198" s="2">
        <v>52</v>
      </c>
      <c r="D198" s="2" t="s">
        <v>2025</v>
      </c>
      <c r="E198" s="2" t="s">
        <v>2027</v>
      </c>
    </row>
    <row r="199" spans="1:5" x14ac:dyDescent="0.2">
      <c r="A199" s="2" t="s">
        <v>416</v>
      </c>
      <c r="B199" s="6">
        <v>45533</v>
      </c>
      <c r="C199" s="2">
        <v>52</v>
      </c>
      <c r="D199" s="2" t="s">
        <v>2028</v>
      </c>
      <c r="E199" s="2" t="s">
        <v>2030</v>
      </c>
    </row>
    <row r="200" spans="1:5" x14ac:dyDescent="0.2">
      <c r="A200" s="2" t="s">
        <v>418</v>
      </c>
      <c r="B200" s="6">
        <v>45531</v>
      </c>
      <c r="C200" s="2">
        <v>33</v>
      </c>
      <c r="D200" s="2" t="s">
        <v>2028</v>
      </c>
      <c r="E200" s="2" t="s">
        <v>2027</v>
      </c>
    </row>
    <row r="201" spans="1:5" x14ac:dyDescent="0.2">
      <c r="A201" s="2" t="s">
        <v>420</v>
      </c>
      <c r="B201" s="6">
        <v>45760</v>
      </c>
      <c r="C201" s="2">
        <v>27</v>
      </c>
      <c r="D201" s="2" t="s">
        <v>2025</v>
      </c>
      <c r="E201" s="2" t="s">
        <v>2030</v>
      </c>
    </row>
    <row r="202" spans="1:5" x14ac:dyDescent="0.2">
      <c r="A202" s="2" t="s">
        <v>422</v>
      </c>
      <c r="B202" s="6">
        <v>45593</v>
      </c>
      <c r="C202" s="2">
        <v>45</v>
      </c>
      <c r="D202" s="2" t="s">
        <v>2028</v>
      </c>
      <c r="E202" s="2" t="s">
        <v>2027</v>
      </c>
    </row>
    <row r="203" spans="1:5" x14ac:dyDescent="0.2">
      <c r="A203" s="2" t="s">
        <v>424</v>
      </c>
      <c r="B203" s="6">
        <v>45797</v>
      </c>
      <c r="C203" s="2">
        <v>19</v>
      </c>
      <c r="D203" s="2" t="s">
        <v>2028</v>
      </c>
      <c r="E203" s="2" t="s">
        <v>2026</v>
      </c>
    </row>
    <row r="204" spans="1:5" x14ac:dyDescent="0.2">
      <c r="A204" s="2" t="s">
        <v>426</v>
      </c>
      <c r="B204" s="6">
        <v>45646</v>
      </c>
      <c r="C204" s="2">
        <v>40</v>
      </c>
      <c r="D204" s="2" t="s">
        <v>2028</v>
      </c>
      <c r="E204" s="2" t="s">
        <v>2026</v>
      </c>
    </row>
    <row r="205" spans="1:5" x14ac:dyDescent="0.2">
      <c r="A205" s="2" t="s">
        <v>428</v>
      </c>
      <c r="B205" s="6">
        <v>45990</v>
      </c>
      <c r="C205" s="2">
        <v>38</v>
      </c>
      <c r="D205" s="2" t="s">
        <v>2028</v>
      </c>
      <c r="E205" s="2" t="s">
        <v>2027</v>
      </c>
    </row>
    <row r="206" spans="1:5" x14ac:dyDescent="0.2">
      <c r="A206" s="2" t="s">
        <v>430</v>
      </c>
      <c r="B206" s="6">
        <v>45582</v>
      </c>
      <c r="C206" s="2">
        <v>25</v>
      </c>
      <c r="D206" s="2" t="s">
        <v>2025</v>
      </c>
      <c r="E206" s="2" t="s">
        <v>2027</v>
      </c>
    </row>
    <row r="207" spans="1:5" x14ac:dyDescent="0.2">
      <c r="A207" s="2" t="s">
        <v>432</v>
      </c>
      <c r="B207" s="6">
        <v>45550</v>
      </c>
      <c r="C207" s="2">
        <v>26</v>
      </c>
      <c r="D207" s="2" t="s">
        <v>2028</v>
      </c>
      <c r="E207" s="2" t="s">
        <v>2026</v>
      </c>
    </row>
    <row r="208" spans="1:5" x14ac:dyDescent="0.2">
      <c r="A208" s="2" t="s">
        <v>434</v>
      </c>
      <c r="B208" s="6">
        <v>45919</v>
      </c>
      <c r="C208" s="2">
        <v>23</v>
      </c>
      <c r="D208" s="2" t="s">
        <v>2028</v>
      </c>
      <c r="E208" s="2" t="s">
        <v>2026</v>
      </c>
    </row>
    <row r="209" spans="1:5" x14ac:dyDescent="0.2">
      <c r="A209" s="2" t="s">
        <v>436</v>
      </c>
      <c r="B209" s="6">
        <v>45807</v>
      </c>
      <c r="C209" s="2">
        <v>24</v>
      </c>
      <c r="D209" s="2" t="s">
        <v>2025</v>
      </c>
      <c r="E209" s="2" t="s">
        <v>2027</v>
      </c>
    </row>
    <row r="210" spans="1:5" x14ac:dyDescent="0.2">
      <c r="A210" s="2" t="s">
        <v>438</v>
      </c>
      <c r="B210" s="6">
        <v>45830</v>
      </c>
      <c r="C210" s="2">
        <v>45</v>
      </c>
      <c r="D210" s="2" t="s">
        <v>2025</v>
      </c>
      <c r="E210" s="2" t="s">
        <v>2030</v>
      </c>
    </row>
    <row r="211" spans="1:5" x14ac:dyDescent="0.2">
      <c r="A211" s="2" t="s">
        <v>440</v>
      </c>
      <c r="B211" s="6">
        <v>45814</v>
      </c>
      <c r="C211" s="2">
        <v>50</v>
      </c>
      <c r="D211" s="2" t="s">
        <v>2028</v>
      </c>
      <c r="E211" s="2" t="s">
        <v>2027</v>
      </c>
    </row>
    <row r="212" spans="1:5" x14ac:dyDescent="0.2">
      <c r="A212" s="2" t="s">
        <v>442</v>
      </c>
      <c r="B212" s="6">
        <v>45596</v>
      </c>
      <c r="C212" s="2">
        <v>43</v>
      </c>
      <c r="D212" s="2" t="s">
        <v>2025</v>
      </c>
      <c r="E212" s="2" t="s">
        <v>2030</v>
      </c>
    </row>
    <row r="213" spans="1:5" x14ac:dyDescent="0.2">
      <c r="A213" s="2" t="s">
        <v>444</v>
      </c>
      <c r="B213" s="6">
        <v>45979</v>
      </c>
      <c r="C213" s="2">
        <v>43</v>
      </c>
      <c r="D213" s="2" t="s">
        <v>2028</v>
      </c>
      <c r="E213" s="2" t="s">
        <v>2026</v>
      </c>
    </row>
    <row r="214" spans="1:5" x14ac:dyDescent="0.2">
      <c r="A214" s="2" t="s">
        <v>446</v>
      </c>
      <c r="B214" s="6">
        <v>45887</v>
      </c>
      <c r="C214" s="2">
        <v>30</v>
      </c>
      <c r="D214" s="2" t="s">
        <v>2028</v>
      </c>
      <c r="E214" s="2" t="s">
        <v>2027</v>
      </c>
    </row>
    <row r="215" spans="1:5" x14ac:dyDescent="0.2">
      <c r="A215" s="2" t="s">
        <v>448</v>
      </c>
      <c r="B215" s="6">
        <v>45606</v>
      </c>
      <c r="C215" s="2">
        <v>18</v>
      </c>
      <c r="D215" s="2" t="s">
        <v>2028</v>
      </c>
      <c r="E215" s="2" t="s">
        <v>2027</v>
      </c>
    </row>
    <row r="216" spans="1:5" x14ac:dyDescent="0.2">
      <c r="A216" s="2" t="s">
        <v>450</v>
      </c>
      <c r="B216" s="6">
        <v>45411</v>
      </c>
      <c r="C216" s="2">
        <v>28</v>
      </c>
      <c r="D216" s="2" t="s">
        <v>2028</v>
      </c>
      <c r="E216" s="2" t="s">
        <v>2027</v>
      </c>
    </row>
    <row r="217" spans="1:5" x14ac:dyDescent="0.2">
      <c r="A217" s="2" t="s">
        <v>452</v>
      </c>
      <c r="B217" s="6">
        <v>45408</v>
      </c>
      <c r="C217" s="2">
        <v>53</v>
      </c>
      <c r="D217" s="2" t="s">
        <v>2028</v>
      </c>
      <c r="E217" s="2" t="s">
        <v>2027</v>
      </c>
    </row>
    <row r="218" spans="1:5" x14ac:dyDescent="0.2">
      <c r="A218" s="2" t="s">
        <v>454</v>
      </c>
      <c r="B218" s="6">
        <v>45479</v>
      </c>
      <c r="C218" s="2">
        <v>18</v>
      </c>
      <c r="D218" s="2" t="s">
        <v>2028</v>
      </c>
      <c r="E218" s="2" t="s">
        <v>2027</v>
      </c>
    </row>
    <row r="219" spans="1:5" x14ac:dyDescent="0.2">
      <c r="A219" s="2" t="s">
        <v>456</v>
      </c>
      <c r="B219" s="6">
        <v>45406</v>
      </c>
      <c r="C219" s="2">
        <v>40</v>
      </c>
      <c r="D219" s="2" t="s">
        <v>2025</v>
      </c>
      <c r="E219" s="2" t="s">
        <v>2027</v>
      </c>
    </row>
    <row r="220" spans="1:5" x14ac:dyDescent="0.2">
      <c r="A220" s="2" t="s">
        <v>458</v>
      </c>
      <c r="B220" s="6">
        <v>45821</v>
      </c>
      <c r="C220" s="2">
        <v>46</v>
      </c>
      <c r="D220" s="2" t="s">
        <v>2028</v>
      </c>
      <c r="E220" s="2" t="s">
        <v>2027</v>
      </c>
    </row>
    <row r="221" spans="1:5" x14ac:dyDescent="0.2">
      <c r="A221" s="2" t="s">
        <v>460</v>
      </c>
      <c r="B221" s="6">
        <v>45526</v>
      </c>
      <c r="C221" s="2">
        <v>50</v>
      </c>
      <c r="D221" s="2" t="s">
        <v>2025</v>
      </c>
      <c r="E221" s="2" t="s">
        <v>2030</v>
      </c>
    </row>
    <row r="222" spans="1:5" x14ac:dyDescent="0.2">
      <c r="A222" s="2" t="s">
        <v>462</v>
      </c>
      <c r="B222" s="6">
        <v>45572</v>
      </c>
      <c r="C222" s="2">
        <v>36</v>
      </c>
      <c r="D222" s="2" t="s">
        <v>2028</v>
      </c>
      <c r="E222" s="2" t="s">
        <v>2027</v>
      </c>
    </row>
    <row r="223" spans="1:5" x14ac:dyDescent="0.2">
      <c r="A223" s="2" t="s">
        <v>464</v>
      </c>
      <c r="B223" s="6">
        <v>45913</v>
      </c>
      <c r="C223" s="2">
        <v>38</v>
      </c>
      <c r="D223" s="2" t="s">
        <v>2025</v>
      </c>
      <c r="E223" s="2" t="s">
        <v>2026</v>
      </c>
    </row>
    <row r="224" spans="1:5" x14ac:dyDescent="0.2">
      <c r="A224" s="2" t="s">
        <v>466</v>
      </c>
      <c r="B224" s="6">
        <v>45347</v>
      </c>
      <c r="C224" s="2">
        <v>26</v>
      </c>
      <c r="D224" s="2" t="s">
        <v>2028</v>
      </c>
      <c r="E224" s="2" t="s">
        <v>2026</v>
      </c>
    </row>
    <row r="225" spans="1:5" x14ac:dyDescent="0.2">
      <c r="A225" s="2" t="s">
        <v>468</v>
      </c>
      <c r="B225" s="6">
        <v>45354</v>
      </c>
      <c r="C225" s="2">
        <v>40</v>
      </c>
      <c r="D225" s="2" t="s">
        <v>2029</v>
      </c>
      <c r="E225" s="2" t="s">
        <v>2027</v>
      </c>
    </row>
    <row r="226" spans="1:5" x14ac:dyDescent="0.2">
      <c r="A226" s="2" t="s">
        <v>470</v>
      </c>
      <c r="B226" s="6">
        <v>45345</v>
      </c>
      <c r="C226" s="2">
        <v>42</v>
      </c>
      <c r="D226" s="2" t="s">
        <v>2025</v>
      </c>
      <c r="E226" s="2" t="s">
        <v>2026</v>
      </c>
    </row>
    <row r="227" spans="1:5" x14ac:dyDescent="0.2">
      <c r="A227" s="2" t="s">
        <v>472</v>
      </c>
      <c r="B227" s="6">
        <v>45564</v>
      </c>
      <c r="C227" s="2">
        <v>39</v>
      </c>
      <c r="D227" s="2" t="s">
        <v>2025</v>
      </c>
      <c r="E227" s="2" t="s">
        <v>2027</v>
      </c>
    </row>
    <row r="228" spans="1:5" x14ac:dyDescent="0.2">
      <c r="A228" s="2" t="s">
        <v>474</v>
      </c>
      <c r="B228" s="6">
        <v>45505</v>
      </c>
      <c r="C228" s="2">
        <v>53</v>
      </c>
      <c r="D228" s="2" t="s">
        <v>2028</v>
      </c>
      <c r="E228" s="2" t="s">
        <v>2027</v>
      </c>
    </row>
    <row r="229" spans="1:5" x14ac:dyDescent="0.2">
      <c r="A229" s="2" t="s">
        <v>476</v>
      </c>
      <c r="B229" s="6">
        <v>45417</v>
      </c>
      <c r="C229" s="2">
        <v>45</v>
      </c>
      <c r="D229" s="2" t="s">
        <v>2028</v>
      </c>
      <c r="E229" s="2" t="s">
        <v>2027</v>
      </c>
    </row>
    <row r="230" spans="1:5" x14ac:dyDescent="0.2">
      <c r="A230" s="2" t="s">
        <v>478</v>
      </c>
      <c r="B230" s="6">
        <v>45360</v>
      </c>
      <c r="C230" s="2">
        <v>40</v>
      </c>
      <c r="D230" s="2" t="s">
        <v>2025</v>
      </c>
      <c r="E230" s="2" t="s">
        <v>2027</v>
      </c>
    </row>
    <row r="231" spans="1:5" x14ac:dyDescent="0.2">
      <c r="A231" s="2" t="s">
        <v>480</v>
      </c>
      <c r="B231" s="6">
        <v>45498</v>
      </c>
      <c r="C231" s="2">
        <v>55</v>
      </c>
      <c r="D231" s="2" t="s">
        <v>2029</v>
      </c>
      <c r="E231" s="2" t="s">
        <v>2027</v>
      </c>
    </row>
    <row r="232" spans="1:5" x14ac:dyDescent="0.2">
      <c r="A232" s="2" t="s">
        <v>482</v>
      </c>
      <c r="B232" s="6">
        <v>45500</v>
      </c>
      <c r="C232" s="2">
        <v>33</v>
      </c>
      <c r="D232" s="2" t="s">
        <v>2025</v>
      </c>
      <c r="E232" s="2" t="s">
        <v>2030</v>
      </c>
    </row>
    <row r="233" spans="1:5" x14ac:dyDescent="0.2">
      <c r="A233" s="2" t="s">
        <v>484</v>
      </c>
      <c r="B233" s="6">
        <v>45644</v>
      </c>
      <c r="C233" s="2">
        <v>36</v>
      </c>
      <c r="D233" s="2" t="s">
        <v>2028</v>
      </c>
      <c r="E233" s="2" t="s">
        <v>2027</v>
      </c>
    </row>
    <row r="234" spans="1:5" x14ac:dyDescent="0.2">
      <c r="A234" s="2" t="s">
        <v>486</v>
      </c>
      <c r="B234" s="6">
        <v>45841</v>
      </c>
      <c r="C234" s="2">
        <v>43</v>
      </c>
      <c r="D234" s="2" t="s">
        <v>2028</v>
      </c>
      <c r="E234" s="2" t="s">
        <v>2026</v>
      </c>
    </row>
    <row r="235" spans="1:5" x14ac:dyDescent="0.2">
      <c r="A235" s="2" t="s">
        <v>488</v>
      </c>
      <c r="B235" s="6">
        <v>45575</v>
      </c>
      <c r="C235" s="2">
        <v>32</v>
      </c>
      <c r="D235" s="2" t="s">
        <v>2025</v>
      </c>
      <c r="E235" s="2" t="s">
        <v>2027</v>
      </c>
    </row>
    <row r="236" spans="1:5" x14ac:dyDescent="0.2">
      <c r="A236" s="2" t="s">
        <v>490</v>
      </c>
      <c r="B236" s="6">
        <v>45453</v>
      </c>
      <c r="C236" s="2">
        <v>21</v>
      </c>
      <c r="D236" s="2" t="s">
        <v>2028</v>
      </c>
      <c r="E236" s="2" t="s">
        <v>2026</v>
      </c>
    </row>
    <row r="237" spans="1:5" x14ac:dyDescent="0.2">
      <c r="A237" s="2" t="s">
        <v>492</v>
      </c>
      <c r="B237" s="6">
        <v>45829</v>
      </c>
      <c r="C237" s="2">
        <v>33</v>
      </c>
      <c r="D237" s="2" t="s">
        <v>2028</v>
      </c>
      <c r="E237" s="2" t="s">
        <v>2027</v>
      </c>
    </row>
    <row r="238" spans="1:5" x14ac:dyDescent="0.2">
      <c r="A238" s="2" t="s">
        <v>494</v>
      </c>
      <c r="B238" s="6">
        <v>45845</v>
      </c>
      <c r="C238" s="2">
        <v>47</v>
      </c>
      <c r="D238" s="2" t="s">
        <v>2025</v>
      </c>
      <c r="E238" s="2" t="s">
        <v>2027</v>
      </c>
    </row>
    <row r="239" spans="1:5" x14ac:dyDescent="0.2">
      <c r="A239" s="2" t="s">
        <v>496</v>
      </c>
      <c r="B239" s="6">
        <v>45726</v>
      </c>
      <c r="C239" s="2">
        <v>46</v>
      </c>
      <c r="D239" s="2" t="s">
        <v>2028</v>
      </c>
      <c r="E239" s="2" t="s">
        <v>2026</v>
      </c>
    </row>
    <row r="240" spans="1:5" x14ac:dyDescent="0.2">
      <c r="A240" s="2" t="s">
        <v>498</v>
      </c>
      <c r="B240" s="6">
        <v>45422</v>
      </c>
      <c r="C240" s="2">
        <v>51</v>
      </c>
      <c r="D240" s="2" t="s">
        <v>2025</v>
      </c>
      <c r="E240" s="2" t="s">
        <v>2027</v>
      </c>
    </row>
    <row r="241" spans="1:5" x14ac:dyDescent="0.2">
      <c r="A241" s="2" t="s">
        <v>500</v>
      </c>
      <c r="B241" s="6">
        <v>45695</v>
      </c>
      <c r="C241" s="2">
        <v>37</v>
      </c>
      <c r="D241" s="2" t="s">
        <v>2025</v>
      </c>
      <c r="E241" s="2" t="s">
        <v>2026</v>
      </c>
    </row>
    <row r="242" spans="1:5" x14ac:dyDescent="0.2">
      <c r="A242" s="2" t="s">
        <v>502</v>
      </c>
      <c r="B242" s="6">
        <v>45531</v>
      </c>
      <c r="C242" s="2">
        <v>29</v>
      </c>
      <c r="D242" s="2" t="s">
        <v>2028</v>
      </c>
      <c r="E242" s="2" t="s">
        <v>2027</v>
      </c>
    </row>
    <row r="243" spans="1:5" x14ac:dyDescent="0.2">
      <c r="A243" s="2" t="s">
        <v>504</v>
      </c>
      <c r="B243" s="6">
        <v>45454</v>
      </c>
      <c r="C243" s="2">
        <v>40</v>
      </c>
      <c r="D243" s="2" t="s">
        <v>2025</v>
      </c>
      <c r="E243" s="2" t="s">
        <v>2027</v>
      </c>
    </row>
    <row r="244" spans="1:5" x14ac:dyDescent="0.2">
      <c r="A244" s="2" t="s">
        <v>506</v>
      </c>
      <c r="B244" s="6">
        <v>45497</v>
      </c>
      <c r="C244" s="2">
        <v>18</v>
      </c>
      <c r="D244" s="2" t="s">
        <v>2028</v>
      </c>
      <c r="E244" s="2" t="s">
        <v>2027</v>
      </c>
    </row>
    <row r="245" spans="1:5" x14ac:dyDescent="0.2">
      <c r="A245" s="2" t="s">
        <v>508</v>
      </c>
      <c r="B245" s="6">
        <v>45539</v>
      </c>
      <c r="C245" s="2">
        <v>46</v>
      </c>
      <c r="D245" s="2" t="s">
        <v>2028</v>
      </c>
      <c r="E245" s="2" t="s">
        <v>2027</v>
      </c>
    </row>
    <row r="246" spans="1:5" x14ac:dyDescent="0.2">
      <c r="A246" s="2" t="s">
        <v>510</v>
      </c>
      <c r="B246" s="6">
        <v>45940</v>
      </c>
      <c r="C246" s="2">
        <v>49</v>
      </c>
      <c r="D246" s="2" t="s">
        <v>2025</v>
      </c>
      <c r="E246" s="2" t="s">
        <v>2027</v>
      </c>
    </row>
    <row r="247" spans="1:5" x14ac:dyDescent="0.2">
      <c r="A247" s="2" t="s">
        <v>512</v>
      </c>
      <c r="B247" s="6">
        <v>45413</v>
      </c>
      <c r="C247" s="2">
        <v>26</v>
      </c>
      <c r="D247" s="2" t="s">
        <v>2025</v>
      </c>
      <c r="E247" s="2" t="s">
        <v>2027</v>
      </c>
    </row>
    <row r="248" spans="1:5" x14ac:dyDescent="0.2">
      <c r="A248" s="2" t="s">
        <v>514</v>
      </c>
      <c r="B248" s="6">
        <v>45982</v>
      </c>
      <c r="C248" s="2">
        <v>18</v>
      </c>
      <c r="D248" s="2" t="s">
        <v>2028</v>
      </c>
      <c r="E248" s="2" t="s">
        <v>2027</v>
      </c>
    </row>
    <row r="249" spans="1:5" x14ac:dyDescent="0.2">
      <c r="A249" s="2" t="s">
        <v>516</v>
      </c>
      <c r="B249" s="6">
        <v>45599</v>
      </c>
      <c r="C249" s="2">
        <v>45</v>
      </c>
      <c r="D249" s="2" t="s">
        <v>2028</v>
      </c>
      <c r="E249" s="2" t="s">
        <v>2027</v>
      </c>
    </row>
    <row r="250" spans="1:5" x14ac:dyDescent="0.2">
      <c r="A250" s="2" t="s">
        <v>518</v>
      </c>
      <c r="B250" s="6">
        <v>45862</v>
      </c>
      <c r="C250" s="2">
        <v>34</v>
      </c>
      <c r="D250" s="2" t="s">
        <v>2025</v>
      </c>
      <c r="E250" s="2" t="s">
        <v>2027</v>
      </c>
    </row>
    <row r="251" spans="1:5" x14ac:dyDescent="0.2">
      <c r="A251" s="2" t="s">
        <v>520</v>
      </c>
      <c r="B251" s="6">
        <v>45658</v>
      </c>
      <c r="C251" s="2">
        <v>42</v>
      </c>
      <c r="D251" s="2" t="s">
        <v>2025</v>
      </c>
      <c r="E251" s="2" t="s">
        <v>2026</v>
      </c>
    </row>
    <row r="252" spans="1:5" x14ac:dyDescent="0.2">
      <c r="A252" s="2" t="s">
        <v>522</v>
      </c>
      <c r="B252" s="6">
        <v>45694</v>
      </c>
      <c r="C252" s="2">
        <v>55</v>
      </c>
      <c r="D252" s="2" t="s">
        <v>2025</v>
      </c>
      <c r="E252" s="2" t="s">
        <v>2026</v>
      </c>
    </row>
    <row r="253" spans="1:5" x14ac:dyDescent="0.2">
      <c r="A253" s="2" t="s">
        <v>524</v>
      </c>
      <c r="B253" s="6">
        <v>45619</v>
      </c>
      <c r="C253" s="2">
        <v>34</v>
      </c>
      <c r="D253" s="2" t="s">
        <v>2028</v>
      </c>
      <c r="E253" s="2" t="s">
        <v>2026</v>
      </c>
    </row>
    <row r="254" spans="1:5" x14ac:dyDescent="0.2">
      <c r="A254" s="2" t="s">
        <v>526</v>
      </c>
      <c r="B254" s="6">
        <v>45470</v>
      </c>
      <c r="C254" s="2">
        <v>24</v>
      </c>
      <c r="D254" s="2" t="s">
        <v>2025</v>
      </c>
      <c r="E254" s="2" t="s">
        <v>2027</v>
      </c>
    </row>
    <row r="255" spans="1:5" x14ac:dyDescent="0.2">
      <c r="A255" s="2" t="s">
        <v>528</v>
      </c>
      <c r="B255" s="6">
        <v>45789</v>
      </c>
      <c r="C255" s="2">
        <v>50</v>
      </c>
      <c r="D255" s="2" t="s">
        <v>2028</v>
      </c>
      <c r="E255" s="2" t="s">
        <v>2027</v>
      </c>
    </row>
    <row r="256" spans="1:5" x14ac:dyDescent="0.2">
      <c r="A256" s="2" t="s">
        <v>530</v>
      </c>
      <c r="B256" s="6">
        <v>45654</v>
      </c>
      <c r="C256" s="2">
        <v>44</v>
      </c>
      <c r="D256" s="2" t="s">
        <v>2025</v>
      </c>
      <c r="E256" s="2" t="s">
        <v>2027</v>
      </c>
    </row>
    <row r="257" spans="1:5" x14ac:dyDescent="0.2">
      <c r="A257" s="2" t="s">
        <v>532</v>
      </c>
      <c r="B257" s="6">
        <v>45599</v>
      </c>
      <c r="C257" s="2">
        <v>23</v>
      </c>
      <c r="D257" s="2" t="s">
        <v>2025</v>
      </c>
      <c r="E257" s="2" t="s">
        <v>2027</v>
      </c>
    </row>
    <row r="258" spans="1:5" x14ac:dyDescent="0.2">
      <c r="A258" s="2" t="s">
        <v>534</v>
      </c>
      <c r="B258" s="6">
        <v>45436</v>
      </c>
      <c r="C258" s="2">
        <v>28</v>
      </c>
      <c r="D258" s="2" t="s">
        <v>2025</v>
      </c>
      <c r="E258" s="2" t="s">
        <v>2026</v>
      </c>
    </row>
    <row r="259" spans="1:5" x14ac:dyDescent="0.2">
      <c r="A259" s="2" t="s">
        <v>536</v>
      </c>
      <c r="B259" s="6">
        <v>45725</v>
      </c>
      <c r="C259" s="2">
        <v>34</v>
      </c>
      <c r="D259" s="2" t="s">
        <v>2028</v>
      </c>
      <c r="E259" s="2" t="s">
        <v>2027</v>
      </c>
    </row>
    <row r="260" spans="1:5" x14ac:dyDescent="0.2">
      <c r="A260" s="2" t="s">
        <v>538</v>
      </c>
      <c r="B260" s="6">
        <v>45782</v>
      </c>
      <c r="C260" s="2">
        <v>36</v>
      </c>
      <c r="D260" s="2" t="s">
        <v>2025</v>
      </c>
      <c r="E260" s="2" t="s">
        <v>2026</v>
      </c>
    </row>
    <row r="261" spans="1:5" x14ac:dyDescent="0.2">
      <c r="A261" s="2" t="s">
        <v>540</v>
      </c>
      <c r="B261" s="6">
        <v>45980</v>
      </c>
      <c r="C261" s="2">
        <v>28</v>
      </c>
      <c r="D261" s="2" t="s">
        <v>2028</v>
      </c>
      <c r="E261" s="2" t="s">
        <v>2026</v>
      </c>
    </row>
    <row r="262" spans="1:5" x14ac:dyDescent="0.2">
      <c r="A262" s="2" t="s">
        <v>542</v>
      </c>
      <c r="B262" s="6">
        <v>45782</v>
      </c>
      <c r="C262" s="2">
        <v>42</v>
      </c>
      <c r="D262" s="2" t="s">
        <v>2025</v>
      </c>
      <c r="E262" s="2" t="s">
        <v>2030</v>
      </c>
    </row>
    <row r="263" spans="1:5" x14ac:dyDescent="0.2">
      <c r="A263" s="2" t="s">
        <v>544</v>
      </c>
      <c r="B263" s="6">
        <v>45718</v>
      </c>
      <c r="C263" s="2">
        <v>48</v>
      </c>
      <c r="D263" s="2" t="s">
        <v>2028</v>
      </c>
      <c r="E263" s="2" t="s">
        <v>2027</v>
      </c>
    </row>
    <row r="264" spans="1:5" x14ac:dyDescent="0.2">
      <c r="A264" s="2" t="s">
        <v>546</v>
      </c>
      <c r="B264" s="6">
        <v>45943</v>
      </c>
      <c r="C264" s="2">
        <v>25</v>
      </c>
      <c r="D264" s="2" t="s">
        <v>2028</v>
      </c>
      <c r="E264" s="2" t="s">
        <v>2026</v>
      </c>
    </row>
    <row r="265" spans="1:5" x14ac:dyDescent="0.2">
      <c r="A265" s="2" t="s">
        <v>548</v>
      </c>
      <c r="B265" s="6">
        <v>45825</v>
      </c>
      <c r="C265" s="2">
        <v>47</v>
      </c>
      <c r="D265" s="2" t="s">
        <v>2028</v>
      </c>
      <c r="E265" s="2" t="s">
        <v>2027</v>
      </c>
    </row>
    <row r="266" spans="1:5" x14ac:dyDescent="0.2">
      <c r="A266" s="2" t="s">
        <v>550</v>
      </c>
      <c r="B266" s="6">
        <v>45577</v>
      </c>
      <c r="C266" s="2">
        <v>19</v>
      </c>
      <c r="D266" s="2" t="s">
        <v>2028</v>
      </c>
      <c r="E266" s="2" t="s">
        <v>2027</v>
      </c>
    </row>
    <row r="267" spans="1:5" x14ac:dyDescent="0.2">
      <c r="A267" s="2" t="s">
        <v>552</v>
      </c>
      <c r="B267" s="6">
        <v>45576</v>
      </c>
      <c r="C267" s="2">
        <v>43</v>
      </c>
      <c r="D267" s="2" t="s">
        <v>2028</v>
      </c>
      <c r="E267" s="2" t="s">
        <v>2027</v>
      </c>
    </row>
    <row r="268" spans="1:5" x14ac:dyDescent="0.2">
      <c r="A268" s="2" t="s">
        <v>554</v>
      </c>
      <c r="B268" s="6">
        <v>45343</v>
      </c>
      <c r="C268" s="2">
        <v>39</v>
      </c>
      <c r="D268" s="2" t="s">
        <v>2025</v>
      </c>
      <c r="E268" s="2" t="s">
        <v>2027</v>
      </c>
    </row>
    <row r="269" spans="1:5" x14ac:dyDescent="0.2">
      <c r="A269" s="2" t="s">
        <v>556</v>
      </c>
      <c r="B269" s="6">
        <v>45768</v>
      </c>
      <c r="C269" s="2">
        <v>33</v>
      </c>
      <c r="D269" s="2" t="s">
        <v>2028</v>
      </c>
      <c r="E269" s="2" t="s">
        <v>2027</v>
      </c>
    </row>
    <row r="270" spans="1:5" x14ac:dyDescent="0.2">
      <c r="A270" s="2" t="s">
        <v>558</v>
      </c>
      <c r="B270" s="6">
        <v>45473</v>
      </c>
      <c r="C270" s="2">
        <v>21</v>
      </c>
      <c r="D270" s="2" t="s">
        <v>2025</v>
      </c>
      <c r="E270" s="2" t="s">
        <v>2027</v>
      </c>
    </row>
    <row r="271" spans="1:5" x14ac:dyDescent="0.2">
      <c r="A271" s="2" t="s">
        <v>560</v>
      </c>
      <c r="B271" s="6">
        <v>45761</v>
      </c>
      <c r="C271" s="2">
        <v>40</v>
      </c>
      <c r="D271" s="2" t="s">
        <v>2028</v>
      </c>
      <c r="E271" s="2" t="s">
        <v>2030</v>
      </c>
    </row>
    <row r="272" spans="1:5" x14ac:dyDescent="0.2">
      <c r="A272" s="2" t="s">
        <v>562</v>
      </c>
      <c r="B272" s="6">
        <v>45753</v>
      </c>
      <c r="C272" s="2">
        <v>37</v>
      </c>
      <c r="D272" s="2" t="s">
        <v>2025</v>
      </c>
      <c r="E272" s="2" t="s">
        <v>2027</v>
      </c>
    </row>
    <row r="273" spans="1:5" x14ac:dyDescent="0.2">
      <c r="A273" s="2" t="s">
        <v>564</v>
      </c>
      <c r="B273" s="6">
        <v>45811</v>
      </c>
      <c r="C273" s="2">
        <v>21</v>
      </c>
      <c r="D273" s="2" t="s">
        <v>2028</v>
      </c>
      <c r="E273" s="2" t="s">
        <v>2027</v>
      </c>
    </row>
    <row r="274" spans="1:5" x14ac:dyDescent="0.2">
      <c r="A274" s="2" t="s">
        <v>566</v>
      </c>
      <c r="B274" s="6">
        <v>45688</v>
      </c>
      <c r="C274" s="2">
        <v>28</v>
      </c>
      <c r="D274" s="2" t="s">
        <v>2025</v>
      </c>
      <c r="E274" s="2" t="s">
        <v>2026</v>
      </c>
    </row>
    <row r="275" spans="1:5" x14ac:dyDescent="0.2">
      <c r="A275" s="2" t="s">
        <v>568</v>
      </c>
      <c r="B275" s="6">
        <v>45921</v>
      </c>
      <c r="C275" s="2">
        <v>52</v>
      </c>
      <c r="D275" s="2" t="s">
        <v>2025</v>
      </c>
      <c r="E275" s="2" t="s">
        <v>2027</v>
      </c>
    </row>
    <row r="276" spans="1:5" x14ac:dyDescent="0.2">
      <c r="A276" s="2" t="s">
        <v>570</v>
      </c>
      <c r="B276" s="6">
        <v>45933</v>
      </c>
      <c r="C276" s="2">
        <v>19</v>
      </c>
      <c r="D276" s="2" t="s">
        <v>2028</v>
      </c>
      <c r="E276" s="2" t="s">
        <v>2026</v>
      </c>
    </row>
    <row r="277" spans="1:5" x14ac:dyDescent="0.2">
      <c r="A277" s="2" t="s">
        <v>572</v>
      </c>
      <c r="B277" s="6">
        <v>45560</v>
      </c>
      <c r="C277" s="2">
        <v>52</v>
      </c>
      <c r="D277" s="2" t="s">
        <v>2028</v>
      </c>
      <c r="E277" s="2" t="s">
        <v>2030</v>
      </c>
    </row>
    <row r="278" spans="1:5" x14ac:dyDescent="0.2">
      <c r="A278" s="2" t="s">
        <v>574</v>
      </c>
      <c r="B278" s="6">
        <v>45536</v>
      </c>
      <c r="C278" s="2">
        <v>19</v>
      </c>
      <c r="D278" s="2" t="s">
        <v>2028</v>
      </c>
      <c r="E278" s="2" t="s">
        <v>2030</v>
      </c>
    </row>
    <row r="279" spans="1:5" x14ac:dyDescent="0.2">
      <c r="A279" s="2" t="s">
        <v>576</v>
      </c>
      <c r="B279" s="6">
        <v>45694</v>
      </c>
      <c r="C279" s="2">
        <v>24</v>
      </c>
      <c r="D279" s="2" t="s">
        <v>2028</v>
      </c>
      <c r="E279" s="2" t="s">
        <v>2027</v>
      </c>
    </row>
    <row r="280" spans="1:5" x14ac:dyDescent="0.2">
      <c r="A280" s="2" t="s">
        <v>578</v>
      </c>
      <c r="B280" s="6">
        <v>45402</v>
      </c>
      <c r="C280" s="2">
        <v>28</v>
      </c>
      <c r="D280" s="2" t="s">
        <v>2028</v>
      </c>
      <c r="E280" s="2" t="s">
        <v>2027</v>
      </c>
    </row>
    <row r="281" spans="1:5" x14ac:dyDescent="0.2">
      <c r="A281" s="2" t="s">
        <v>580</v>
      </c>
      <c r="B281" s="6">
        <v>45715</v>
      </c>
      <c r="C281" s="2">
        <v>23</v>
      </c>
      <c r="D281" s="2" t="s">
        <v>2028</v>
      </c>
      <c r="E281" s="2" t="s">
        <v>2027</v>
      </c>
    </row>
    <row r="282" spans="1:5" x14ac:dyDescent="0.2">
      <c r="A282" s="2" t="s">
        <v>582</v>
      </c>
      <c r="B282" s="6">
        <v>45512</v>
      </c>
      <c r="C282" s="2">
        <v>30</v>
      </c>
      <c r="D282" s="2" t="s">
        <v>2028</v>
      </c>
      <c r="E282" s="2" t="s">
        <v>2027</v>
      </c>
    </row>
    <row r="283" spans="1:5" x14ac:dyDescent="0.2">
      <c r="A283" s="2" t="s">
        <v>584</v>
      </c>
      <c r="B283" s="6">
        <v>45651</v>
      </c>
      <c r="C283" s="2">
        <v>51</v>
      </c>
      <c r="D283" s="2" t="s">
        <v>2025</v>
      </c>
      <c r="E283" s="2" t="s">
        <v>2026</v>
      </c>
    </row>
    <row r="284" spans="1:5" x14ac:dyDescent="0.2">
      <c r="A284" s="2" t="s">
        <v>586</v>
      </c>
      <c r="B284" s="6">
        <v>45758</v>
      </c>
      <c r="C284" s="2">
        <v>21</v>
      </c>
      <c r="D284" s="2" t="s">
        <v>2028</v>
      </c>
      <c r="E284" s="2" t="s">
        <v>2027</v>
      </c>
    </row>
    <row r="285" spans="1:5" x14ac:dyDescent="0.2">
      <c r="A285" s="2" t="s">
        <v>588</v>
      </c>
      <c r="B285" s="6">
        <v>45894</v>
      </c>
      <c r="C285" s="2">
        <v>36</v>
      </c>
      <c r="D285" s="2" t="s">
        <v>2028</v>
      </c>
      <c r="E285" s="2" t="s">
        <v>2027</v>
      </c>
    </row>
    <row r="286" spans="1:5" x14ac:dyDescent="0.2">
      <c r="A286" s="2" t="s">
        <v>590</v>
      </c>
      <c r="B286" s="6">
        <v>45789</v>
      </c>
      <c r="C286" s="2">
        <v>50</v>
      </c>
      <c r="D286" s="2" t="s">
        <v>2028</v>
      </c>
      <c r="E286" s="2" t="s">
        <v>2027</v>
      </c>
    </row>
    <row r="287" spans="1:5" x14ac:dyDescent="0.2">
      <c r="A287" s="2" t="s">
        <v>592</v>
      </c>
      <c r="B287" s="6">
        <v>45660</v>
      </c>
      <c r="C287" s="2">
        <v>22</v>
      </c>
      <c r="D287" s="2" t="s">
        <v>2028</v>
      </c>
      <c r="E287" s="2" t="s">
        <v>2027</v>
      </c>
    </row>
    <row r="288" spans="1:5" x14ac:dyDescent="0.2">
      <c r="A288" s="2" t="s">
        <v>594</v>
      </c>
      <c r="B288" s="6">
        <v>45461</v>
      </c>
      <c r="C288" s="2">
        <v>34</v>
      </c>
      <c r="D288" s="2" t="s">
        <v>2025</v>
      </c>
      <c r="E288" s="2" t="s">
        <v>2030</v>
      </c>
    </row>
    <row r="289" spans="1:5" x14ac:dyDescent="0.2">
      <c r="A289" s="2" t="s">
        <v>596</v>
      </c>
      <c r="B289" s="6">
        <v>45968</v>
      </c>
      <c r="C289" s="2">
        <v>19</v>
      </c>
      <c r="D289" s="2" t="s">
        <v>2025</v>
      </c>
      <c r="E289" s="2" t="s">
        <v>2027</v>
      </c>
    </row>
    <row r="290" spans="1:5" x14ac:dyDescent="0.2">
      <c r="A290" s="2" t="s">
        <v>598</v>
      </c>
      <c r="B290" s="6">
        <v>45617</v>
      </c>
      <c r="C290" s="2">
        <v>38</v>
      </c>
      <c r="D290" s="2" t="s">
        <v>2028</v>
      </c>
      <c r="E290" s="2" t="s">
        <v>2027</v>
      </c>
    </row>
    <row r="291" spans="1:5" x14ac:dyDescent="0.2">
      <c r="A291" s="2" t="s">
        <v>600</v>
      </c>
      <c r="B291" s="6">
        <v>45742</v>
      </c>
      <c r="C291" s="2">
        <v>26</v>
      </c>
      <c r="D291" s="2" t="s">
        <v>2028</v>
      </c>
      <c r="E291" s="2" t="s">
        <v>2026</v>
      </c>
    </row>
    <row r="292" spans="1:5" x14ac:dyDescent="0.2">
      <c r="A292" s="2" t="s">
        <v>602</v>
      </c>
      <c r="B292" s="6">
        <v>45582</v>
      </c>
      <c r="C292" s="2">
        <v>45</v>
      </c>
      <c r="D292" s="2" t="s">
        <v>2028</v>
      </c>
      <c r="E292" s="2" t="s">
        <v>2027</v>
      </c>
    </row>
    <row r="293" spans="1:5" x14ac:dyDescent="0.2">
      <c r="A293" s="2" t="s">
        <v>604</v>
      </c>
      <c r="B293" s="6">
        <v>45761</v>
      </c>
      <c r="C293" s="2">
        <v>36</v>
      </c>
      <c r="D293" s="2" t="s">
        <v>2025</v>
      </c>
      <c r="E293" s="2" t="s">
        <v>2027</v>
      </c>
    </row>
    <row r="294" spans="1:5" x14ac:dyDescent="0.2">
      <c r="A294" s="2" t="s">
        <v>606</v>
      </c>
      <c r="B294" s="6">
        <v>45507</v>
      </c>
      <c r="C294" s="2">
        <v>51</v>
      </c>
      <c r="D294" s="2" t="s">
        <v>2025</v>
      </c>
      <c r="E294" s="2" t="s">
        <v>2026</v>
      </c>
    </row>
    <row r="295" spans="1:5" x14ac:dyDescent="0.2">
      <c r="A295" s="2" t="s">
        <v>608</v>
      </c>
      <c r="B295" s="6">
        <v>45558</v>
      </c>
      <c r="C295" s="2">
        <v>23</v>
      </c>
      <c r="D295" s="2" t="s">
        <v>2025</v>
      </c>
      <c r="E295" s="2" t="s">
        <v>2030</v>
      </c>
    </row>
    <row r="296" spans="1:5" x14ac:dyDescent="0.2">
      <c r="A296" s="2" t="s">
        <v>610</v>
      </c>
      <c r="B296" s="6">
        <v>45398</v>
      </c>
      <c r="C296" s="2">
        <v>18</v>
      </c>
      <c r="D296" s="2" t="s">
        <v>2028</v>
      </c>
      <c r="E296" s="2" t="s">
        <v>2026</v>
      </c>
    </row>
    <row r="297" spans="1:5" x14ac:dyDescent="0.2">
      <c r="A297" s="2" t="s">
        <v>612</v>
      </c>
      <c r="B297" s="6">
        <v>45655</v>
      </c>
      <c r="C297" s="2">
        <v>28</v>
      </c>
      <c r="D297" s="2" t="s">
        <v>2028</v>
      </c>
      <c r="E297" s="2" t="s">
        <v>2026</v>
      </c>
    </row>
    <row r="298" spans="1:5" x14ac:dyDescent="0.2">
      <c r="A298" s="2" t="s">
        <v>614</v>
      </c>
      <c r="B298" s="6">
        <v>45512</v>
      </c>
      <c r="C298" s="2">
        <v>34</v>
      </c>
      <c r="D298" s="2" t="s">
        <v>2028</v>
      </c>
      <c r="E298" s="2" t="s">
        <v>2027</v>
      </c>
    </row>
    <row r="299" spans="1:5" x14ac:dyDescent="0.2">
      <c r="A299" s="2" t="s">
        <v>616</v>
      </c>
      <c r="B299" s="6">
        <v>45391</v>
      </c>
      <c r="C299" s="2">
        <v>40</v>
      </c>
      <c r="D299" s="2" t="s">
        <v>2028</v>
      </c>
      <c r="E299" s="2" t="s">
        <v>2027</v>
      </c>
    </row>
    <row r="300" spans="1:5" x14ac:dyDescent="0.2">
      <c r="A300" s="2" t="s">
        <v>618</v>
      </c>
      <c r="B300" s="6">
        <v>45966</v>
      </c>
      <c r="C300" s="2">
        <v>21</v>
      </c>
      <c r="D300" s="2" t="s">
        <v>2028</v>
      </c>
      <c r="E300" s="2" t="s">
        <v>2027</v>
      </c>
    </row>
    <row r="301" spans="1:5" x14ac:dyDescent="0.2">
      <c r="A301" s="2" t="s">
        <v>620</v>
      </c>
      <c r="B301" s="6">
        <v>45680</v>
      </c>
      <c r="C301" s="2">
        <v>54</v>
      </c>
      <c r="D301" s="2" t="s">
        <v>2025</v>
      </c>
      <c r="E301" s="2" t="s">
        <v>2027</v>
      </c>
    </row>
    <row r="302" spans="1:5" x14ac:dyDescent="0.2">
      <c r="A302" s="2" t="s">
        <v>622</v>
      </c>
      <c r="B302" s="6">
        <v>45818</v>
      </c>
      <c r="C302" s="2">
        <v>52</v>
      </c>
      <c r="D302" s="2" t="s">
        <v>2025</v>
      </c>
      <c r="E302" s="2" t="s">
        <v>2027</v>
      </c>
    </row>
    <row r="303" spans="1:5" x14ac:dyDescent="0.2">
      <c r="A303" s="2" t="s">
        <v>624</v>
      </c>
      <c r="B303" s="6">
        <v>45495</v>
      </c>
      <c r="C303" s="2">
        <v>19</v>
      </c>
      <c r="D303" s="2" t="s">
        <v>2029</v>
      </c>
      <c r="E303" s="2" t="s">
        <v>2027</v>
      </c>
    </row>
    <row r="304" spans="1:5" x14ac:dyDescent="0.2">
      <c r="A304" s="2" t="s">
        <v>626</v>
      </c>
      <c r="B304" s="6">
        <v>45731</v>
      </c>
      <c r="C304" s="2">
        <v>53</v>
      </c>
      <c r="D304" s="2" t="s">
        <v>2028</v>
      </c>
      <c r="E304" s="2" t="s">
        <v>2027</v>
      </c>
    </row>
    <row r="305" spans="1:5" x14ac:dyDescent="0.2">
      <c r="A305" s="2" t="s">
        <v>628</v>
      </c>
      <c r="B305" s="6">
        <v>45718</v>
      </c>
      <c r="C305" s="2">
        <v>33</v>
      </c>
      <c r="D305" s="2" t="s">
        <v>2028</v>
      </c>
      <c r="E305" s="2" t="s">
        <v>2030</v>
      </c>
    </row>
    <row r="306" spans="1:5" x14ac:dyDescent="0.2">
      <c r="A306" s="2" t="s">
        <v>630</v>
      </c>
      <c r="B306" s="6">
        <v>45751</v>
      </c>
      <c r="C306" s="2">
        <v>24</v>
      </c>
      <c r="D306" s="2" t="s">
        <v>2025</v>
      </c>
      <c r="E306" s="2" t="s">
        <v>2027</v>
      </c>
    </row>
    <row r="307" spans="1:5" x14ac:dyDescent="0.2">
      <c r="A307" s="2" t="s">
        <v>632</v>
      </c>
      <c r="B307" s="6">
        <v>45667</v>
      </c>
      <c r="C307" s="2">
        <v>26</v>
      </c>
      <c r="D307" s="2" t="s">
        <v>2025</v>
      </c>
      <c r="E307" s="2" t="s">
        <v>2027</v>
      </c>
    </row>
    <row r="308" spans="1:5" x14ac:dyDescent="0.2">
      <c r="A308" s="2" t="s">
        <v>634</v>
      </c>
      <c r="B308" s="6">
        <v>45772</v>
      </c>
      <c r="C308" s="2">
        <v>47</v>
      </c>
      <c r="D308" s="2" t="s">
        <v>2028</v>
      </c>
      <c r="E308" s="2" t="s">
        <v>2027</v>
      </c>
    </row>
    <row r="309" spans="1:5" x14ac:dyDescent="0.2">
      <c r="A309" s="2" t="s">
        <v>636</v>
      </c>
      <c r="B309" s="6">
        <v>45601</v>
      </c>
      <c r="C309" s="2">
        <v>47</v>
      </c>
      <c r="D309" s="2" t="s">
        <v>2028</v>
      </c>
      <c r="E309" s="2" t="s">
        <v>2027</v>
      </c>
    </row>
    <row r="310" spans="1:5" x14ac:dyDescent="0.2">
      <c r="A310" s="2" t="s">
        <v>638</v>
      </c>
      <c r="B310" s="6">
        <v>45374</v>
      </c>
      <c r="C310" s="2">
        <v>44</v>
      </c>
      <c r="D310" s="2" t="s">
        <v>2028</v>
      </c>
      <c r="E310" s="2" t="s">
        <v>2026</v>
      </c>
    </row>
    <row r="311" spans="1:5" x14ac:dyDescent="0.2">
      <c r="A311" s="2" t="s">
        <v>640</v>
      </c>
      <c r="B311" s="6">
        <v>45436</v>
      </c>
      <c r="C311" s="2">
        <v>47</v>
      </c>
      <c r="D311" s="2" t="s">
        <v>2028</v>
      </c>
      <c r="E311" s="2" t="s">
        <v>2026</v>
      </c>
    </row>
    <row r="312" spans="1:5" x14ac:dyDescent="0.2">
      <c r="A312" s="2" t="s">
        <v>642</v>
      </c>
      <c r="B312" s="6">
        <v>45504</v>
      </c>
      <c r="C312" s="2">
        <v>32</v>
      </c>
      <c r="D312" s="2" t="s">
        <v>2028</v>
      </c>
      <c r="E312" s="2" t="s">
        <v>2027</v>
      </c>
    </row>
    <row r="313" spans="1:5" x14ac:dyDescent="0.2">
      <c r="A313" s="2" t="s">
        <v>644</v>
      </c>
      <c r="B313" s="6">
        <v>45780</v>
      </c>
      <c r="C313" s="2">
        <v>47</v>
      </c>
      <c r="D313" s="2" t="s">
        <v>2028</v>
      </c>
      <c r="E313" s="2" t="s">
        <v>2027</v>
      </c>
    </row>
    <row r="314" spans="1:5" x14ac:dyDescent="0.2">
      <c r="A314" s="2" t="s">
        <v>646</v>
      </c>
      <c r="B314" s="6">
        <v>45868</v>
      </c>
      <c r="C314" s="2">
        <v>49</v>
      </c>
      <c r="D314" s="2" t="s">
        <v>2028</v>
      </c>
      <c r="E314" s="2" t="s">
        <v>2027</v>
      </c>
    </row>
    <row r="315" spans="1:5" x14ac:dyDescent="0.2">
      <c r="A315" s="2" t="s">
        <v>648</v>
      </c>
      <c r="B315" s="6">
        <v>45383</v>
      </c>
      <c r="C315" s="2">
        <v>30</v>
      </c>
      <c r="D315" s="2" t="s">
        <v>2025</v>
      </c>
      <c r="E315" s="2" t="s">
        <v>2027</v>
      </c>
    </row>
    <row r="316" spans="1:5" x14ac:dyDescent="0.2">
      <c r="A316" s="2" t="s">
        <v>650</v>
      </c>
      <c r="B316" s="6">
        <v>45368</v>
      </c>
      <c r="C316" s="2">
        <v>51</v>
      </c>
      <c r="D316" s="2" t="s">
        <v>2029</v>
      </c>
      <c r="E316" s="2" t="s">
        <v>2027</v>
      </c>
    </row>
    <row r="317" spans="1:5" x14ac:dyDescent="0.2">
      <c r="A317" s="2" t="s">
        <v>652</v>
      </c>
      <c r="B317" s="6">
        <v>45526</v>
      </c>
      <c r="C317" s="2">
        <v>39</v>
      </c>
      <c r="D317" s="2" t="s">
        <v>2025</v>
      </c>
      <c r="E317" s="2" t="s">
        <v>2027</v>
      </c>
    </row>
    <row r="318" spans="1:5" x14ac:dyDescent="0.2">
      <c r="A318" s="2" t="s">
        <v>654</v>
      </c>
      <c r="B318" s="6">
        <v>45818</v>
      </c>
      <c r="C318" s="2">
        <v>53</v>
      </c>
      <c r="D318" s="2" t="s">
        <v>2028</v>
      </c>
      <c r="E318" s="2" t="s">
        <v>2026</v>
      </c>
    </row>
    <row r="319" spans="1:5" x14ac:dyDescent="0.2">
      <c r="A319" s="2" t="s">
        <v>656</v>
      </c>
      <c r="B319" s="6">
        <v>45727</v>
      </c>
      <c r="C319" s="2">
        <v>51</v>
      </c>
      <c r="D319" s="2" t="s">
        <v>2028</v>
      </c>
      <c r="E319" s="2" t="s">
        <v>2026</v>
      </c>
    </row>
    <row r="320" spans="1:5" x14ac:dyDescent="0.2">
      <c r="A320" s="2" t="s">
        <v>658</v>
      </c>
      <c r="B320" s="6">
        <v>45366</v>
      </c>
      <c r="C320" s="2">
        <v>47</v>
      </c>
      <c r="D320" s="2" t="s">
        <v>2025</v>
      </c>
      <c r="E320" s="2" t="s">
        <v>2030</v>
      </c>
    </row>
    <row r="321" spans="1:5" x14ac:dyDescent="0.2">
      <c r="A321" s="2" t="s">
        <v>660</v>
      </c>
      <c r="B321" s="6">
        <v>45487</v>
      </c>
      <c r="C321" s="2">
        <v>46</v>
      </c>
      <c r="D321" s="2" t="s">
        <v>2025</v>
      </c>
      <c r="E321" s="2" t="s">
        <v>2027</v>
      </c>
    </row>
    <row r="322" spans="1:5" x14ac:dyDescent="0.2">
      <c r="A322" s="2" t="s">
        <v>662</v>
      </c>
      <c r="B322" s="6">
        <v>45928</v>
      </c>
      <c r="C322" s="2">
        <v>33</v>
      </c>
      <c r="D322" s="2" t="s">
        <v>2025</v>
      </c>
      <c r="E322" s="2" t="s">
        <v>2027</v>
      </c>
    </row>
    <row r="323" spans="1:5" x14ac:dyDescent="0.2">
      <c r="A323" s="2" t="s">
        <v>664</v>
      </c>
      <c r="B323" s="6">
        <v>45574</v>
      </c>
      <c r="C323" s="2">
        <v>51</v>
      </c>
      <c r="D323" s="2" t="s">
        <v>2025</v>
      </c>
      <c r="E323" s="2" t="s">
        <v>2027</v>
      </c>
    </row>
    <row r="324" spans="1:5" x14ac:dyDescent="0.2">
      <c r="A324" s="2" t="s">
        <v>666</v>
      </c>
      <c r="B324" s="6">
        <v>45571</v>
      </c>
      <c r="C324" s="2">
        <v>33</v>
      </c>
      <c r="D324" s="2" t="s">
        <v>2025</v>
      </c>
      <c r="E324" s="2" t="s">
        <v>2027</v>
      </c>
    </row>
    <row r="325" spans="1:5" x14ac:dyDescent="0.2">
      <c r="A325" s="2" t="s">
        <v>668</v>
      </c>
      <c r="B325" s="6">
        <v>45884</v>
      </c>
      <c r="C325" s="2">
        <v>25</v>
      </c>
      <c r="D325" s="2" t="s">
        <v>2028</v>
      </c>
      <c r="E325" s="2" t="s">
        <v>2026</v>
      </c>
    </row>
    <row r="326" spans="1:5" x14ac:dyDescent="0.2">
      <c r="A326" s="2" t="s">
        <v>670</v>
      </c>
      <c r="B326" s="6">
        <v>45936</v>
      </c>
      <c r="C326" s="2">
        <v>51</v>
      </c>
      <c r="D326" s="2" t="s">
        <v>2025</v>
      </c>
      <c r="E326" s="2" t="s">
        <v>2027</v>
      </c>
    </row>
    <row r="327" spans="1:5" x14ac:dyDescent="0.2">
      <c r="A327" s="2" t="s">
        <v>672</v>
      </c>
      <c r="B327" s="6">
        <v>45423</v>
      </c>
      <c r="C327" s="2">
        <v>50</v>
      </c>
      <c r="D327" s="2" t="s">
        <v>2028</v>
      </c>
      <c r="E327" s="2" t="s">
        <v>2027</v>
      </c>
    </row>
    <row r="328" spans="1:5" x14ac:dyDescent="0.2">
      <c r="A328" s="2" t="s">
        <v>674</v>
      </c>
      <c r="B328" s="6">
        <v>45529</v>
      </c>
      <c r="C328" s="2">
        <v>44</v>
      </c>
      <c r="D328" s="2" t="s">
        <v>2025</v>
      </c>
      <c r="E328" s="2" t="s">
        <v>2027</v>
      </c>
    </row>
    <row r="329" spans="1:5" x14ac:dyDescent="0.2">
      <c r="A329" s="2" t="s">
        <v>676</v>
      </c>
      <c r="B329" s="6">
        <v>45787</v>
      </c>
      <c r="C329" s="2">
        <v>32</v>
      </c>
      <c r="D329" s="2" t="s">
        <v>2025</v>
      </c>
      <c r="E329" s="2" t="s">
        <v>2027</v>
      </c>
    </row>
    <row r="330" spans="1:5" x14ac:dyDescent="0.2">
      <c r="A330" s="2" t="s">
        <v>679</v>
      </c>
      <c r="B330" s="6">
        <v>45641</v>
      </c>
      <c r="C330" s="2">
        <v>51</v>
      </c>
      <c r="D330" s="2" t="s">
        <v>2025</v>
      </c>
      <c r="E330" s="2" t="s">
        <v>2027</v>
      </c>
    </row>
    <row r="331" spans="1:5" x14ac:dyDescent="0.2">
      <c r="A331" s="2" t="s">
        <v>681</v>
      </c>
      <c r="B331" s="6">
        <v>45507</v>
      </c>
      <c r="C331" s="2">
        <v>29</v>
      </c>
      <c r="D331" s="2" t="s">
        <v>2025</v>
      </c>
      <c r="E331" s="2" t="s">
        <v>2026</v>
      </c>
    </row>
    <row r="332" spans="1:5" x14ac:dyDescent="0.2">
      <c r="A332" s="2" t="s">
        <v>683</v>
      </c>
      <c r="B332" s="6">
        <v>45868</v>
      </c>
      <c r="C332" s="2">
        <v>23</v>
      </c>
      <c r="D332" s="2" t="s">
        <v>2025</v>
      </c>
      <c r="E332" s="2" t="s">
        <v>2027</v>
      </c>
    </row>
    <row r="333" spans="1:5" x14ac:dyDescent="0.2">
      <c r="A333" s="2" t="s">
        <v>685</v>
      </c>
      <c r="B333" s="6">
        <v>45632</v>
      </c>
      <c r="C333" s="2">
        <v>27</v>
      </c>
      <c r="D333" s="2" t="s">
        <v>2028</v>
      </c>
      <c r="E333" s="2" t="s">
        <v>2027</v>
      </c>
    </row>
    <row r="334" spans="1:5" x14ac:dyDescent="0.2">
      <c r="A334" s="2" t="s">
        <v>687</v>
      </c>
      <c r="B334" s="6">
        <v>45974</v>
      </c>
      <c r="C334" s="2">
        <v>28</v>
      </c>
      <c r="D334" s="2" t="s">
        <v>2028</v>
      </c>
      <c r="E334" s="2" t="s">
        <v>2026</v>
      </c>
    </row>
    <row r="335" spans="1:5" x14ac:dyDescent="0.2">
      <c r="A335" s="2" t="s">
        <v>689</v>
      </c>
      <c r="B335" s="6">
        <v>45654</v>
      </c>
      <c r="C335" s="2">
        <v>31</v>
      </c>
      <c r="D335" s="2" t="s">
        <v>2028</v>
      </c>
      <c r="E335" s="2" t="s">
        <v>2027</v>
      </c>
    </row>
    <row r="336" spans="1:5" x14ac:dyDescent="0.2">
      <c r="A336" s="2" t="s">
        <v>691</v>
      </c>
      <c r="B336" s="6">
        <v>45972</v>
      </c>
      <c r="C336" s="2">
        <v>51</v>
      </c>
      <c r="D336" s="2" t="s">
        <v>2025</v>
      </c>
      <c r="E336" s="2" t="s">
        <v>2030</v>
      </c>
    </row>
    <row r="337" spans="1:5" x14ac:dyDescent="0.2">
      <c r="A337" s="2" t="s">
        <v>693</v>
      </c>
      <c r="B337" s="6">
        <v>45393</v>
      </c>
      <c r="C337" s="2">
        <v>38</v>
      </c>
      <c r="D337" s="2" t="s">
        <v>2025</v>
      </c>
      <c r="E337" s="2" t="s">
        <v>2030</v>
      </c>
    </row>
    <row r="338" spans="1:5" x14ac:dyDescent="0.2">
      <c r="A338" s="2" t="s">
        <v>695</v>
      </c>
      <c r="B338" s="6">
        <v>45715</v>
      </c>
      <c r="C338" s="2">
        <v>30</v>
      </c>
      <c r="D338" s="2" t="s">
        <v>2028</v>
      </c>
      <c r="E338" s="2" t="s">
        <v>2026</v>
      </c>
    </row>
    <row r="339" spans="1:5" x14ac:dyDescent="0.2">
      <c r="A339" s="2" t="s">
        <v>697</v>
      </c>
      <c r="B339" s="6">
        <v>45887</v>
      </c>
      <c r="C339" s="2">
        <v>51</v>
      </c>
      <c r="D339" s="2" t="s">
        <v>2028</v>
      </c>
      <c r="E339" s="2" t="s">
        <v>2030</v>
      </c>
    </row>
    <row r="340" spans="1:5" x14ac:dyDescent="0.2">
      <c r="A340" s="2" t="s">
        <v>699</v>
      </c>
      <c r="B340" s="6">
        <v>45379</v>
      </c>
      <c r="C340" s="2">
        <v>52</v>
      </c>
      <c r="D340" s="2" t="s">
        <v>2028</v>
      </c>
      <c r="E340" s="2" t="s">
        <v>2027</v>
      </c>
    </row>
    <row r="341" spans="1:5" x14ac:dyDescent="0.2">
      <c r="A341" s="2" t="s">
        <v>701</v>
      </c>
      <c r="B341" s="6">
        <v>45901</v>
      </c>
      <c r="C341" s="2">
        <v>52</v>
      </c>
      <c r="D341" s="2" t="s">
        <v>2028</v>
      </c>
      <c r="E341" s="2" t="s">
        <v>2027</v>
      </c>
    </row>
    <row r="342" spans="1:5" x14ac:dyDescent="0.2">
      <c r="A342" s="2" t="s">
        <v>703</v>
      </c>
      <c r="B342" s="6">
        <v>45604</v>
      </c>
      <c r="C342" s="2">
        <v>23</v>
      </c>
      <c r="D342" s="2" t="s">
        <v>2025</v>
      </c>
      <c r="E342" s="2" t="s">
        <v>2026</v>
      </c>
    </row>
    <row r="343" spans="1:5" x14ac:dyDescent="0.2">
      <c r="A343" s="2" t="s">
        <v>705</v>
      </c>
      <c r="B343" s="6">
        <v>45506</v>
      </c>
      <c r="C343" s="2">
        <v>46</v>
      </c>
      <c r="D343" s="2" t="s">
        <v>2028</v>
      </c>
      <c r="E343" s="2" t="s">
        <v>2027</v>
      </c>
    </row>
    <row r="344" spans="1:5" x14ac:dyDescent="0.2">
      <c r="A344" s="2" t="s">
        <v>707</v>
      </c>
      <c r="B344" s="6">
        <v>45639</v>
      </c>
      <c r="C344" s="2">
        <v>24</v>
      </c>
      <c r="D344" s="2" t="s">
        <v>2028</v>
      </c>
      <c r="E344" s="2" t="s">
        <v>2027</v>
      </c>
    </row>
    <row r="345" spans="1:5" x14ac:dyDescent="0.2">
      <c r="A345" s="2" t="s">
        <v>709</v>
      </c>
      <c r="B345" s="6">
        <v>45606</v>
      </c>
      <c r="C345" s="2">
        <v>31</v>
      </c>
      <c r="D345" s="2" t="s">
        <v>2025</v>
      </c>
      <c r="E345" s="2" t="s">
        <v>2027</v>
      </c>
    </row>
    <row r="346" spans="1:5" x14ac:dyDescent="0.2">
      <c r="A346" s="2" t="s">
        <v>711</v>
      </c>
      <c r="B346" s="6">
        <v>45698</v>
      </c>
      <c r="C346" s="2">
        <v>52</v>
      </c>
      <c r="D346" s="2" t="s">
        <v>2025</v>
      </c>
      <c r="E346" s="2" t="s">
        <v>2027</v>
      </c>
    </row>
    <row r="347" spans="1:5" x14ac:dyDescent="0.2">
      <c r="A347" s="2" t="s">
        <v>713</v>
      </c>
      <c r="B347" s="6">
        <v>45976</v>
      </c>
      <c r="C347" s="2">
        <v>54</v>
      </c>
      <c r="D347" s="2" t="s">
        <v>2025</v>
      </c>
      <c r="E347" s="2" t="s">
        <v>2030</v>
      </c>
    </row>
    <row r="348" spans="1:5" x14ac:dyDescent="0.2">
      <c r="A348" s="2" t="s">
        <v>715</v>
      </c>
      <c r="B348" s="6">
        <v>45582</v>
      </c>
      <c r="C348" s="2">
        <v>18</v>
      </c>
      <c r="D348" s="2" t="s">
        <v>2028</v>
      </c>
      <c r="E348" s="2" t="s">
        <v>2027</v>
      </c>
    </row>
    <row r="349" spans="1:5" x14ac:dyDescent="0.2">
      <c r="A349" s="2" t="s">
        <v>718</v>
      </c>
      <c r="B349" s="6">
        <v>45368</v>
      </c>
      <c r="C349" s="2">
        <v>40</v>
      </c>
      <c r="D349" s="2" t="s">
        <v>2025</v>
      </c>
      <c r="E349" s="2" t="s">
        <v>2027</v>
      </c>
    </row>
    <row r="350" spans="1:5" x14ac:dyDescent="0.2">
      <c r="A350" s="2" t="s">
        <v>720</v>
      </c>
      <c r="B350" s="6">
        <v>45569</v>
      </c>
      <c r="C350" s="2">
        <v>32</v>
      </c>
      <c r="D350" s="2" t="s">
        <v>2028</v>
      </c>
      <c r="E350" s="2" t="s">
        <v>2030</v>
      </c>
    </row>
    <row r="351" spans="1:5" x14ac:dyDescent="0.2">
      <c r="A351" s="2" t="s">
        <v>722</v>
      </c>
      <c r="B351" s="6">
        <v>45452</v>
      </c>
      <c r="C351" s="2">
        <v>41</v>
      </c>
      <c r="D351" s="2" t="s">
        <v>2028</v>
      </c>
      <c r="E351" s="2" t="s">
        <v>2027</v>
      </c>
    </row>
    <row r="352" spans="1:5" x14ac:dyDescent="0.2">
      <c r="A352" s="2" t="s">
        <v>724</v>
      </c>
      <c r="B352" s="6">
        <v>45470</v>
      </c>
      <c r="C352" s="2">
        <v>22</v>
      </c>
      <c r="D352" s="2" t="s">
        <v>2025</v>
      </c>
      <c r="E352" s="2" t="s">
        <v>2026</v>
      </c>
    </row>
    <row r="353" spans="1:5" x14ac:dyDescent="0.2">
      <c r="A353" s="2" t="s">
        <v>726</v>
      </c>
      <c r="B353" s="6">
        <v>45437</v>
      </c>
      <c r="C353" s="2">
        <v>22</v>
      </c>
      <c r="D353" s="2" t="s">
        <v>2028</v>
      </c>
      <c r="E353" s="2" t="s">
        <v>2026</v>
      </c>
    </row>
    <row r="354" spans="1:5" x14ac:dyDescent="0.2">
      <c r="A354" s="2" t="s">
        <v>728</v>
      </c>
      <c r="B354" s="6">
        <v>45815</v>
      </c>
      <c r="C354" s="2">
        <v>54</v>
      </c>
      <c r="D354" s="2" t="s">
        <v>2028</v>
      </c>
      <c r="E354" s="2" t="s">
        <v>2027</v>
      </c>
    </row>
    <row r="355" spans="1:5" x14ac:dyDescent="0.2">
      <c r="A355" s="2" t="s">
        <v>730</v>
      </c>
      <c r="B355" s="6">
        <v>45754</v>
      </c>
      <c r="C355" s="2">
        <v>39</v>
      </c>
      <c r="D355" s="2" t="s">
        <v>2025</v>
      </c>
      <c r="E355" s="2" t="s">
        <v>2027</v>
      </c>
    </row>
    <row r="356" spans="1:5" x14ac:dyDescent="0.2">
      <c r="A356" s="2" t="s">
        <v>732</v>
      </c>
      <c r="B356" s="6">
        <v>45619</v>
      </c>
      <c r="C356" s="2">
        <v>48</v>
      </c>
      <c r="D356" s="2" t="s">
        <v>2028</v>
      </c>
      <c r="E356" s="2" t="s">
        <v>2026</v>
      </c>
    </row>
    <row r="357" spans="1:5" x14ac:dyDescent="0.2">
      <c r="A357" s="2" t="s">
        <v>734</v>
      </c>
      <c r="B357" s="6">
        <v>45352</v>
      </c>
      <c r="C357" s="2">
        <v>25</v>
      </c>
      <c r="D357" s="2" t="s">
        <v>2025</v>
      </c>
      <c r="E357" s="2" t="s">
        <v>2027</v>
      </c>
    </row>
    <row r="358" spans="1:5" x14ac:dyDescent="0.2">
      <c r="A358" s="2" t="s">
        <v>736</v>
      </c>
      <c r="B358" s="6">
        <v>45406</v>
      </c>
      <c r="C358" s="2">
        <v>37</v>
      </c>
      <c r="D358" s="2" t="s">
        <v>2029</v>
      </c>
      <c r="E358" s="2" t="s">
        <v>2027</v>
      </c>
    </row>
    <row r="359" spans="1:5" x14ac:dyDescent="0.2">
      <c r="A359" s="2" t="s">
        <v>738</v>
      </c>
      <c r="B359" s="6">
        <v>45413</v>
      </c>
      <c r="C359" s="2">
        <v>41</v>
      </c>
      <c r="D359" s="2" t="s">
        <v>2029</v>
      </c>
      <c r="E359" s="2" t="s">
        <v>2027</v>
      </c>
    </row>
    <row r="360" spans="1:5" x14ac:dyDescent="0.2">
      <c r="A360" s="2" t="s">
        <v>740</v>
      </c>
      <c r="B360" s="6">
        <v>45496</v>
      </c>
      <c r="C360" s="2">
        <v>48</v>
      </c>
      <c r="D360" s="2" t="s">
        <v>2028</v>
      </c>
      <c r="E360" s="2" t="s">
        <v>2027</v>
      </c>
    </row>
    <row r="361" spans="1:5" x14ac:dyDescent="0.2">
      <c r="A361" s="2" t="s">
        <v>742</v>
      </c>
      <c r="B361" s="6">
        <v>45849</v>
      </c>
      <c r="C361" s="2">
        <v>19</v>
      </c>
      <c r="D361" s="2" t="s">
        <v>2025</v>
      </c>
      <c r="E361" s="2" t="s">
        <v>2027</v>
      </c>
    </row>
    <row r="362" spans="1:5" x14ac:dyDescent="0.2">
      <c r="A362" s="2" t="s">
        <v>744</v>
      </c>
      <c r="B362" s="6">
        <v>45536</v>
      </c>
      <c r="C362" s="2">
        <v>50</v>
      </c>
      <c r="D362" s="2" t="s">
        <v>2025</v>
      </c>
      <c r="E362" s="2" t="s">
        <v>2027</v>
      </c>
    </row>
    <row r="363" spans="1:5" x14ac:dyDescent="0.2">
      <c r="A363" s="2" t="s">
        <v>746</v>
      </c>
      <c r="B363" s="6">
        <v>45789</v>
      </c>
      <c r="C363" s="2">
        <v>40</v>
      </c>
      <c r="D363" s="2" t="s">
        <v>2025</v>
      </c>
      <c r="E363" s="2" t="s">
        <v>2027</v>
      </c>
    </row>
    <row r="364" spans="1:5" x14ac:dyDescent="0.2">
      <c r="A364" s="2" t="s">
        <v>748</v>
      </c>
      <c r="B364" s="6">
        <v>45787</v>
      </c>
      <c r="C364" s="2">
        <v>37</v>
      </c>
      <c r="D364" s="2" t="s">
        <v>2028</v>
      </c>
      <c r="E364" s="2" t="s">
        <v>2027</v>
      </c>
    </row>
    <row r="365" spans="1:5" x14ac:dyDescent="0.2">
      <c r="A365" s="2" t="s">
        <v>750</v>
      </c>
      <c r="B365" s="6">
        <v>45488</v>
      </c>
      <c r="C365" s="2">
        <v>20</v>
      </c>
      <c r="D365" s="2" t="s">
        <v>2025</v>
      </c>
      <c r="E365" s="2" t="s">
        <v>2027</v>
      </c>
    </row>
    <row r="366" spans="1:5" x14ac:dyDescent="0.2">
      <c r="A366" s="2" t="s">
        <v>752</v>
      </c>
      <c r="B366" s="6">
        <v>45924</v>
      </c>
      <c r="C366" s="2">
        <v>27</v>
      </c>
      <c r="D366" s="2" t="s">
        <v>2025</v>
      </c>
      <c r="E366" s="2" t="s">
        <v>2027</v>
      </c>
    </row>
    <row r="367" spans="1:5" x14ac:dyDescent="0.2">
      <c r="A367" s="2" t="s">
        <v>754</v>
      </c>
      <c r="B367" s="6">
        <v>45843</v>
      </c>
      <c r="C367" s="2">
        <v>43</v>
      </c>
      <c r="D367" s="2" t="s">
        <v>2025</v>
      </c>
      <c r="E367" s="2" t="s">
        <v>2027</v>
      </c>
    </row>
    <row r="368" spans="1:5" x14ac:dyDescent="0.2">
      <c r="A368" s="2" t="s">
        <v>756</v>
      </c>
      <c r="B368" s="6">
        <v>45505</v>
      </c>
      <c r="C368" s="2">
        <v>37</v>
      </c>
      <c r="D368" s="2" t="s">
        <v>2028</v>
      </c>
      <c r="E368" s="2" t="s">
        <v>2027</v>
      </c>
    </row>
    <row r="369" spans="1:5" x14ac:dyDescent="0.2">
      <c r="A369" s="2" t="s">
        <v>758</v>
      </c>
      <c r="B369" s="6">
        <v>45529</v>
      </c>
      <c r="C369" s="2">
        <v>46</v>
      </c>
      <c r="D369" s="2" t="s">
        <v>2025</v>
      </c>
      <c r="E369" s="2" t="s">
        <v>2027</v>
      </c>
    </row>
    <row r="370" spans="1:5" x14ac:dyDescent="0.2">
      <c r="A370" s="2" t="s">
        <v>760</v>
      </c>
      <c r="B370" s="6">
        <v>45960</v>
      </c>
      <c r="C370" s="2">
        <v>39</v>
      </c>
      <c r="D370" s="2" t="s">
        <v>2028</v>
      </c>
      <c r="E370" s="2" t="s">
        <v>2027</v>
      </c>
    </row>
    <row r="371" spans="1:5" x14ac:dyDescent="0.2">
      <c r="A371" s="2" t="s">
        <v>762</v>
      </c>
      <c r="B371" s="6">
        <v>45836</v>
      </c>
      <c r="C371" s="2">
        <v>27</v>
      </c>
      <c r="D371" s="2" t="s">
        <v>2028</v>
      </c>
      <c r="E371" s="2" t="s">
        <v>2026</v>
      </c>
    </row>
    <row r="372" spans="1:5" x14ac:dyDescent="0.2">
      <c r="A372" s="2" t="s">
        <v>764</v>
      </c>
      <c r="B372" s="6">
        <v>45889</v>
      </c>
      <c r="C372" s="2">
        <v>44</v>
      </c>
      <c r="D372" s="2" t="s">
        <v>2025</v>
      </c>
      <c r="E372" s="2" t="s">
        <v>2027</v>
      </c>
    </row>
    <row r="373" spans="1:5" x14ac:dyDescent="0.2">
      <c r="A373" s="2" t="s">
        <v>766</v>
      </c>
      <c r="B373" s="6">
        <v>45689</v>
      </c>
      <c r="C373" s="2">
        <v>24</v>
      </c>
      <c r="D373" s="2" t="s">
        <v>2028</v>
      </c>
      <c r="E373" s="2" t="s">
        <v>2027</v>
      </c>
    </row>
    <row r="374" spans="1:5" x14ac:dyDescent="0.2">
      <c r="A374" s="2" t="s">
        <v>768</v>
      </c>
      <c r="B374" s="6">
        <v>45766</v>
      </c>
      <c r="C374" s="2">
        <v>48</v>
      </c>
      <c r="D374" s="2" t="s">
        <v>2028</v>
      </c>
      <c r="E374" s="2" t="s">
        <v>2027</v>
      </c>
    </row>
    <row r="375" spans="1:5" x14ac:dyDescent="0.2">
      <c r="A375" s="2" t="s">
        <v>770</v>
      </c>
      <c r="B375" s="6">
        <v>45361</v>
      </c>
      <c r="C375" s="2">
        <v>51</v>
      </c>
      <c r="D375" s="2" t="s">
        <v>2028</v>
      </c>
      <c r="E375" s="2" t="s">
        <v>2027</v>
      </c>
    </row>
    <row r="376" spans="1:5" x14ac:dyDescent="0.2">
      <c r="A376" s="2" t="s">
        <v>772</v>
      </c>
      <c r="B376" s="6">
        <v>45670</v>
      </c>
      <c r="C376" s="2">
        <v>39</v>
      </c>
      <c r="D376" s="2" t="s">
        <v>2025</v>
      </c>
      <c r="E376" s="2" t="s">
        <v>2027</v>
      </c>
    </row>
    <row r="377" spans="1:5" x14ac:dyDescent="0.2">
      <c r="A377" s="2" t="s">
        <v>774</v>
      </c>
      <c r="B377" s="6">
        <v>45729</v>
      </c>
      <c r="C377" s="2">
        <v>52</v>
      </c>
      <c r="D377" s="2" t="s">
        <v>2028</v>
      </c>
      <c r="E377" s="2" t="s">
        <v>2027</v>
      </c>
    </row>
    <row r="378" spans="1:5" x14ac:dyDescent="0.2">
      <c r="A378" s="2" t="s">
        <v>776</v>
      </c>
      <c r="B378" s="6">
        <v>45395</v>
      </c>
      <c r="C378" s="2">
        <v>44</v>
      </c>
      <c r="D378" s="2" t="s">
        <v>2025</v>
      </c>
      <c r="E378" s="2" t="s">
        <v>2027</v>
      </c>
    </row>
    <row r="379" spans="1:5" x14ac:dyDescent="0.2">
      <c r="A379" s="2" t="s">
        <v>778</v>
      </c>
      <c r="B379" s="6">
        <v>45597</v>
      </c>
      <c r="C379" s="2">
        <v>50</v>
      </c>
      <c r="D379" s="2" t="s">
        <v>2028</v>
      </c>
      <c r="E379" s="2" t="s">
        <v>2027</v>
      </c>
    </row>
    <row r="380" spans="1:5" x14ac:dyDescent="0.2">
      <c r="A380" s="2" t="s">
        <v>780</v>
      </c>
      <c r="B380" s="6">
        <v>45882</v>
      </c>
      <c r="C380" s="2">
        <v>40</v>
      </c>
      <c r="D380" s="2" t="s">
        <v>2025</v>
      </c>
      <c r="E380" s="2" t="s">
        <v>2027</v>
      </c>
    </row>
    <row r="381" spans="1:5" x14ac:dyDescent="0.2">
      <c r="A381" s="2" t="s">
        <v>782</v>
      </c>
      <c r="B381" s="6">
        <v>45814</v>
      </c>
      <c r="C381" s="2">
        <v>23</v>
      </c>
      <c r="D381" s="2" t="s">
        <v>2028</v>
      </c>
      <c r="E381" s="2" t="s">
        <v>2027</v>
      </c>
    </row>
    <row r="382" spans="1:5" x14ac:dyDescent="0.2">
      <c r="A382" s="2" t="s">
        <v>784</v>
      </c>
      <c r="B382" s="6">
        <v>45886</v>
      </c>
      <c r="C382" s="2">
        <v>38</v>
      </c>
      <c r="D382" s="2" t="s">
        <v>2025</v>
      </c>
      <c r="E382" s="2" t="s">
        <v>2026</v>
      </c>
    </row>
    <row r="383" spans="1:5" x14ac:dyDescent="0.2">
      <c r="A383" s="2" t="s">
        <v>786</v>
      </c>
      <c r="B383" s="6">
        <v>45493</v>
      </c>
      <c r="C383" s="2">
        <v>46</v>
      </c>
      <c r="D383" s="2" t="s">
        <v>2028</v>
      </c>
      <c r="E383" s="2" t="s">
        <v>2027</v>
      </c>
    </row>
    <row r="384" spans="1:5" x14ac:dyDescent="0.2">
      <c r="A384" s="2" t="s">
        <v>788</v>
      </c>
      <c r="B384" s="6">
        <v>45984</v>
      </c>
      <c r="C384" s="2">
        <v>26</v>
      </c>
      <c r="D384" s="2" t="s">
        <v>2025</v>
      </c>
      <c r="E384" s="2" t="s">
        <v>2027</v>
      </c>
    </row>
    <row r="385" spans="1:5" x14ac:dyDescent="0.2">
      <c r="A385" s="2" t="s">
        <v>790</v>
      </c>
      <c r="B385" s="6">
        <v>45800</v>
      </c>
      <c r="C385" s="2">
        <v>47</v>
      </c>
      <c r="D385" s="2" t="s">
        <v>2028</v>
      </c>
      <c r="E385" s="2" t="s">
        <v>2030</v>
      </c>
    </row>
    <row r="386" spans="1:5" x14ac:dyDescent="0.2">
      <c r="A386" s="2" t="s">
        <v>792</v>
      </c>
      <c r="B386" s="6">
        <v>45524</v>
      </c>
      <c r="C386" s="2">
        <v>30</v>
      </c>
      <c r="D386" s="2" t="s">
        <v>2028</v>
      </c>
      <c r="E386" s="2" t="s">
        <v>2026</v>
      </c>
    </row>
    <row r="387" spans="1:5" x14ac:dyDescent="0.2">
      <c r="A387" s="2" t="s">
        <v>794</v>
      </c>
      <c r="B387" s="6">
        <v>45474</v>
      </c>
      <c r="C387" s="2">
        <v>48</v>
      </c>
      <c r="D387" s="2" t="s">
        <v>2028</v>
      </c>
      <c r="E387" s="2" t="s">
        <v>2027</v>
      </c>
    </row>
    <row r="388" spans="1:5" x14ac:dyDescent="0.2">
      <c r="A388" s="2" t="s">
        <v>796</v>
      </c>
      <c r="B388" s="6">
        <v>45591</v>
      </c>
      <c r="C388" s="2">
        <v>27</v>
      </c>
      <c r="D388" s="2" t="s">
        <v>2028</v>
      </c>
      <c r="E388" s="2" t="s">
        <v>2027</v>
      </c>
    </row>
    <row r="389" spans="1:5" x14ac:dyDescent="0.2">
      <c r="A389" s="2" t="s">
        <v>798</v>
      </c>
      <c r="B389" s="6">
        <v>45862</v>
      </c>
      <c r="C389" s="2">
        <v>24</v>
      </c>
      <c r="D389" s="2" t="s">
        <v>2028</v>
      </c>
      <c r="E389" s="2" t="s">
        <v>2027</v>
      </c>
    </row>
    <row r="390" spans="1:5" x14ac:dyDescent="0.2">
      <c r="A390" s="2" t="s">
        <v>800</v>
      </c>
      <c r="B390" s="6">
        <v>45377</v>
      </c>
      <c r="C390" s="2">
        <v>35</v>
      </c>
      <c r="D390" s="2" t="s">
        <v>2025</v>
      </c>
      <c r="E390" s="2" t="s">
        <v>2027</v>
      </c>
    </row>
    <row r="391" spans="1:5" x14ac:dyDescent="0.2">
      <c r="A391" s="2" t="s">
        <v>802</v>
      </c>
      <c r="B391" s="6">
        <v>45693</v>
      </c>
      <c r="C391" s="2">
        <v>28</v>
      </c>
      <c r="D391" s="2" t="s">
        <v>2025</v>
      </c>
      <c r="E391" s="2" t="s">
        <v>2030</v>
      </c>
    </row>
    <row r="392" spans="1:5" x14ac:dyDescent="0.2">
      <c r="A392" s="2" t="s">
        <v>804</v>
      </c>
      <c r="B392" s="6">
        <v>45991</v>
      </c>
      <c r="C392" s="2">
        <v>51</v>
      </c>
      <c r="D392" s="2" t="s">
        <v>2025</v>
      </c>
      <c r="E392" s="2" t="s">
        <v>2026</v>
      </c>
    </row>
    <row r="393" spans="1:5" x14ac:dyDescent="0.2">
      <c r="A393" s="2" t="s">
        <v>806</v>
      </c>
      <c r="B393" s="6">
        <v>45485</v>
      </c>
      <c r="C393" s="2">
        <v>43</v>
      </c>
      <c r="D393" s="2" t="s">
        <v>2025</v>
      </c>
      <c r="E393" s="2" t="s">
        <v>2026</v>
      </c>
    </row>
    <row r="394" spans="1:5" x14ac:dyDescent="0.2">
      <c r="A394" s="2" t="s">
        <v>808</v>
      </c>
      <c r="B394" s="6">
        <v>45651</v>
      </c>
      <c r="C394" s="2">
        <v>42</v>
      </c>
      <c r="D394" s="2" t="s">
        <v>2028</v>
      </c>
      <c r="E394" s="2" t="s">
        <v>2027</v>
      </c>
    </row>
    <row r="395" spans="1:5" x14ac:dyDescent="0.2">
      <c r="A395" s="2" t="s">
        <v>810</v>
      </c>
      <c r="B395" s="6">
        <v>45907</v>
      </c>
      <c r="C395" s="2">
        <v>20</v>
      </c>
      <c r="D395" s="2" t="s">
        <v>2028</v>
      </c>
      <c r="E395" s="2" t="s">
        <v>2030</v>
      </c>
    </row>
    <row r="396" spans="1:5" x14ac:dyDescent="0.2">
      <c r="A396" s="2" t="s">
        <v>812</v>
      </c>
      <c r="B396" s="6">
        <v>45722</v>
      </c>
      <c r="C396" s="2">
        <v>35</v>
      </c>
      <c r="D396" s="2" t="s">
        <v>2028</v>
      </c>
      <c r="E396" s="2" t="s">
        <v>2026</v>
      </c>
    </row>
    <row r="397" spans="1:5" x14ac:dyDescent="0.2">
      <c r="A397" s="2" t="s">
        <v>814</v>
      </c>
      <c r="B397" s="6">
        <v>45497</v>
      </c>
      <c r="C397" s="2">
        <v>41</v>
      </c>
      <c r="D397" s="2" t="s">
        <v>2025</v>
      </c>
      <c r="E397" s="2" t="s">
        <v>2027</v>
      </c>
    </row>
    <row r="398" spans="1:5" x14ac:dyDescent="0.2">
      <c r="A398" s="2" t="s">
        <v>816</v>
      </c>
      <c r="B398" s="6">
        <v>45833</v>
      </c>
      <c r="C398" s="2">
        <v>38</v>
      </c>
      <c r="D398" s="2" t="s">
        <v>2025</v>
      </c>
      <c r="E398" s="2" t="s">
        <v>2027</v>
      </c>
    </row>
    <row r="399" spans="1:5" x14ac:dyDescent="0.2">
      <c r="A399" s="2" t="s">
        <v>818</v>
      </c>
      <c r="B399" s="6">
        <v>45896</v>
      </c>
      <c r="C399" s="2">
        <v>20</v>
      </c>
      <c r="D399" s="2" t="s">
        <v>2025</v>
      </c>
      <c r="E399" s="2" t="s">
        <v>2027</v>
      </c>
    </row>
    <row r="400" spans="1:5" x14ac:dyDescent="0.2">
      <c r="A400" s="2" t="s">
        <v>820</v>
      </c>
      <c r="B400" s="6">
        <v>45505</v>
      </c>
      <c r="C400" s="2">
        <v>21</v>
      </c>
      <c r="D400" s="2" t="s">
        <v>2028</v>
      </c>
      <c r="E400" s="2" t="s">
        <v>2027</v>
      </c>
    </row>
    <row r="401" spans="1:5" x14ac:dyDescent="0.2">
      <c r="A401" s="2" t="s">
        <v>822</v>
      </c>
      <c r="B401" s="6">
        <v>45425</v>
      </c>
      <c r="C401" s="2">
        <v>37</v>
      </c>
      <c r="D401" s="2" t="s">
        <v>2028</v>
      </c>
      <c r="E401" s="2" t="s">
        <v>2026</v>
      </c>
    </row>
    <row r="402" spans="1:5" x14ac:dyDescent="0.2">
      <c r="A402" s="2" t="s">
        <v>824</v>
      </c>
      <c r="B402" s="6">
        <v>45421</v>
      </c>
      <c r="C402" s="2">
        <v>28</v>
      </c>
      <c r="D402" s="2" t="s">
        <v>2025</v>
      </c>
      <c r="E402" s="2" t="s">
        <v>2027</v>
      </c>
    </row>
    <row r="403" spans="1:5" x14ac:dyDescent="0.2">
      <c r="A403" s="2" t="s">
        <v>826</v>
      </c>
      <c r="B403" s="6">
        <v>45662</v>
      </c>
      <c r="C403" s="2">
        <v>38</v>
      </c>
      <c r="D403" s="2" t="s">
        <v>2025</v>
      </c>
      <c r="E403" s="2" t="s">
        <v>2026</v>
      </c>
    </row>
    <row r="404" spans="1:5" x14ac:dyDescent="0.2">
      <c r="A404" s="2" t="s">
        <v>828</v>
      </c>
      <c r="B404" s="6">
        <v>45972</v>
      </c>
      <c r="C404" s="2">
        <v>29</v>
      </c>
      <c r="D404" s="2" t="s">
        <v>2025</v>
      </c>
      <c r="E404" s="2" t="s">
        <v>2027</v>
      </c>
    </row>
    <row r="405" spans="1:5" x14ac:dyDescent="0.2">
      <c r="A405" s="2" t="s">
        <v>830</v>
      </c>
      <c r="B405" s="6">
        <v>45946</v>
      </c>
      <c r="C405" s="2">
        <v>54</v>
      </c>
      <c r="D405" s="2" t="s">
        <v>2028</v>
      </c>
      <c r="E405" s="2" t="s">
        <v>2027</v>
      </c>
    </row>
    <row r="406" spans="1:5" x14ac:dyDescent="0.2">
      <c r="A406" s="2" t="s">
        <v>832</v>
      </c>
      <c r="B406" s="6">
        <v>45900</v>
      </c>
      <c r="C406" s="2">
        <v>53</v>
      </c>
      <c r="D406" s="2" t="s">
        <v>2025</v>
      </c>
      <c r="E406" s="2" t="s">
        <v>2027</v>
      </c>
    </row>
    <row r="407" spans="1:5" x14ac:dyDescent="0.2">
      <c r="A407" s="2" t="s">
        <v>834</v>
      </c>
      <c r="B407" s="6">
        <v>45538</v>
      </c>
      <c r="C407" s="2">
        <v>38</v>
      </c>
      <c r="D407" s="2" t="s">
        <v>2028</v>
      </c>
      <c r="E407" s="2" t="s">
        <v>2027</v>
      </c>
    </row>
    <row r="408" spans="1:5" x14ac:dyDescent="0.2">
      <c r="A408" s="2" t="s">
        <v>836</v>
      </c>
      <c r="B408" s="6">
        <v>45823</v>
      </c>
      <c r="C408" s="2">
        <v>51</v>
      </c>
      <c r="D408" s="2" t="s">
        <v>2028</v>
      </c>
      <c r="E408" s="2" t="s">
        <v>2027</v>
      </c>
    </row>
    <row r="409" spans="1:5" x14ac:dyDescent="0.2">
      <c r="A409" s="2" t="s">
        <v>838</v>
      </c>
      <c r="B409" s="6">
        <v>45751</v>
      </c>
      <c r="C409" s="2">
        <v>36</v>
      </c>
      <c r="D409" s="2" t="s">
        <v>2025</v>
      </c>
      <c r="E409" s="2" t="s">
        <v>2027</v>
      </c>
    </row>
    <row r="410" spans="1:5" x14ac:dyDescent="0.2">
      <c r="A410" s="2" t="s">
        <v>840</v>
      </c>
      <c r="B410" s="6">
        <v>45683</v>
      </c>
      <c r="C410" s="2">
        <v>18</v>
      </c>
      <c r="D410" s="2" t="s">
        <v>2025</v>
      </c>
      <c r="E410" s="2" t="s">
        <v>2027</v>
      </c>
    </row>
    <row r="411" spans="1:5" x14ac:dyDescent="0.2">
      <c r="A411" s="2" t="s">
        <v>842</v>
      </c>
      <c r="B411" s="6">
        <v>45851</v>
      </c>
      <c r="C411" s="2">
        <v>28</v>
      </c>
      <c r="D411" s="2" t="s">
        <v>2028</v>
      </c>
      <c r="E411" s="2" t="s">
        <v>2027</v>
      </c>
    </row>
    <row r="412" spans="1:5" x14ac:dyDescent="0.2">
      <c r="A412" s="2" t="s">
        <v>844</v>
      </c>
      <c r="B412" s="6">
        <v>45586</v>
      </c>
      <c r="C412" s="2">
        <v>41</v>
      </c>
      <c r="D412" s="2" t="s">
        <v>2025</v>
      </c>
      <c r="E412" s="2" t="s">
        <v>2026</v>
      </c>
    </row>
    <row r="413" spans="1:5" x14ac:dyDescent="0.2">
      <c r="A413" s="2" t="s">
        <v>846</v>
      </c>
      <c r="B413" s="6">
        <v>45357</v>
      </c>
      <c r="C413" s="2">
        <v>37</v>
      </c>
      <c r="D413" s="2" t="s">
        <v>2025</v>
      </c>
      <c r="E413" s="2" t="s">
        <v>2027</v>
      </c>
    </row>
    <row r="414" spans="1:5" x14ac:dyDescent="0.2">
      <c r="A414" s="2" t="s">
        <v>848</v>
      </c>
      <c r="B414" s="6">
        <v>45530</v>
      </c>
      <c r="C414" s="2">
        <v>52</v>
      </c>
      <c r="D414" s="2" t="s">
        <v>2028</v>
      </c>
      <c r="E414" s="2" t="s">
        <v>2027</v>
      </c>
    </row>
    <row r="415" spans="1:5" x14ac:dyDescent="0.2">
      <c r="A415" s="2" t="s">
        <v>850</v>
      </c>
      <c r="B415" s="6">
        <v>45914</v>
      </c>
      <c r="C415" s="2">
        <v>21</v>
      </c>
      <c r="D415" s="2" t="s">
        <v>2025</v>
      </c>
      <c r="E415" s="2" t="s">
        <v>2026</v>
      </c>
    </row>
    <row r="416" spans="1:5" x14ac:dyDescent="0.2">
      <c r="A416" s="2" t="s">
        <v>852</v>
      </c>
      <c r="B416" s="6">
        <v>45742</v>
      </c>
      <c r="C416" s="2">
        <v>26</v>
      </c>
      <c r="D416" s="2" t="s">
        <v>2025</v>
      </c>
      <c r="E416" s="2" t="s">
        <v>2027</v>
      </c>
    </row>
    <row r="417" spans="1:5" x14ac:dyDescent="0.2">
      <c r="A417" s="2" t="s">
        <v>854</v>
      </c>
      <c r="B417" s="6">
        <v>45965</v>
      </c>
      <c r="C417" s="2">
        <v>33</v>
      </c>
      <c r="D417" s="2" t="s">
        <v>2025</v>
      </c>
      <c r="E417" s="2" t="s">
        <v>2030</v>
      </c>
    </row>
    <row r="418" spans="1:5" x14ac:dyDescent="0.2">
      <c r="A418" s="2" t="s">
        <v>856</v>
      </c>
      <c r="B418" s="6">
        <v>45465</v>
      </c>
      <c r="C418" s="2">
        <v>38</v>
      </c>
      <c r="D418" s="2" t="s">
        <v>2028</v>
      </c>
      <c r="E418" s="2" t="s">
        <v>2027</v>
      </c>
    </row>
    <row r="419" spans="1:5" x14ac:dyDescent="0.2">
      <c r="A419" s="2" t="s">
        <v>858</v>
      </c>
      <c r="B419" s="6">
        <v>45837</v>
      </c>
      <c r="C419" s="2">
        <v>47</v>
      </c>
      <c r="D419" s="2" t="s">
        <v>2028</v>
      </c>
      <c r="E419" s="2" t="s">
        <v>2027</v>
      </c>
    </row>
    <row r="420" spans="1:5" x14ac:dyDescent="0.2">
      <c r="A420" s="2" t="s">
        <v>860</v>
      </c>
      <c r="B420" s="6">
        <v>45684</v>
      </c>
      <c r="C420" s="2">
        <v>33</v>
      </c>
      <c r="D420" s="2" t="s">
        <v>2028</v>
      </c>
      <c r="E420" s="2" t="s">
        <v>2030</v>
      </c>
    </row>
    <row r="421" spans="1:5" x14ac:dyDescent="0.2">
      <c r="A421" s="2" t="s">
        <v>862</v>
      </c>
      <c r="B421" s="6">
        <v>45431</v>
      </c>
      <c r="C421" s="2">
        <v>33</v>
      </c>
      <c r="D421" s="2" t="s">
        <v>2025</v>
      </c>
      <c r="E421" s="2" t="s">
        <v>2027</v>
      </c>
    </row>
    <row r="422" spans="1:5" x14ac:dyDescent="0.2">
      <c r="A422" s="2" t="s">
        <v>864</v>
      </c>
      <c r="B422" s="6">
        <v>45911</v>
      </c>
      <c r="C422" s="2">
        <v>35</v>
      </c>
      <c r="D422" s="2" t="s">
        <v>2025</v>
      </c>
      <c r="E422" s="2" t="s">
        <v>2026</v>
      </c>
    </row>
    <row r="423" spans="1:5" x14ac:dyDescent="0.2">
      <c r="A423" s="2" t="s">
        <v>866</v>
      </c>
      <c r="B423" s="6">
        <v>45439</v>
      </c>
      <c r="C423" s="2">
        <v>45</v>
      </c>
      <c r="D423" s="2" t="s">
        <v>2029</v>
      </c>
      <c r="E423" s="2" t="s">
        <v>2027</v>
      </c>
    </row>
    <row r="424" spans="1:5" x14ac:dyDescent="0.2">
      <c r="A424" s="2" t="s">
        <v>868</v>
      </c>
      <c r="B424" s="6">
        <v>45523</v>
      </c>
      <c r="C424" s="2">
        <v>29</v>
      </c>
      <c r="D424" s="2" t="s">
        <v>2029</v>
      </c>
      <c r="E424" s="2" t="s">
        <v>2027</v>
      </c>
    </row>
    <row r="425" spans="1:5" x14ac:dyDescent="0.2">
      <c r="A425" s="2" t="s">
        <v>870</v>
      </c>
      <c r="B425" s="6">
        <v>45416</v>
      </c>
      <c r="C425" s="2">
        <v>43</v>
      </c>
      <c r="D425" s="2" t="s">
        <v>2025</v>
      </c>
      <c r="E425" s="2" t="s">
        <v>2030</v>
      </c>
    </row>
    <row r="426" spans="1:5" x14ac:dyDescent="0.2">
      <c r="A426" s="2" t="s">
        <v>872</v>
      </c>
      <c r="B426" s="6">
        <v>45885</v>
      </c>
      <c r="C426" s="2">
        <v>23</v>
      </c>
      <c r="D426" s="2" t="s">
        <v>2025</v>
      </c>
      <c r="E426" s="2" t="s">
        <v>2026</v>
      </c>
    </row>
    <row r="427" spans="1:5" x14ac:dyDescent="0.2">
      <c r="A427" s="2" t="s">
        <v>874</v>
      </c>
      <c r="B427" s="6">
        <v>45560</v>
      </c>
      <c r="C427" s="2">
        <v>43</v>
      </c>
      <c r="D427" s="2" t="s">
        <v>2029</v>
      </c>
      <c r="E427" s="2" t="s">
        <v>2027</v>
      </c>
    </row>
    <row r="428" spans="1:5" x14ac:dyDescent="0.2">
      <c r="A428" s="2" t="s">
        <v>876</v>
      </c>
      <c r="B428" s="6">
        <v>45380</v>
      </c>
      <c r="C428" s="2">
        <v>25</v>
      </c>
      <c r="D428" s="2" t="s">
        <v>2028</v>
      </c>
      <c r="E428" s="2" t="s">
        <v>2027</v>
      </c>
    </row>
    <row r="429" spans="1:5" x14ac:dyDescent="0.2">
      <c r="A429" s="2" t="s">
        <v>878</v>
      </c>
      <c r="B429" s="6">
        <v>45887</v>
      </c>
      <c r="C429" s="2">
        <v>52</v>
      </c>
      <c r="D429" s="2" t="s">
        <v>2025</v>
      </c>
      <c r="E429" s="2" t="s">
        <v>2027</v>
      </c>
    </row>
    <row r="430" spans="1:5" x14ac:dyDescent="0.2">
      <c r="A430" s="2" t="s">
        <v>880</v>
      </c>
      <c r="B430" s="6">
        <v>45897</v>
      </c>
      <c r="C430" s="2">
        <v>55</v>
      </c>
      <c r="D430" s="2" t="s">
        <v>2025</v>
      </c>
      <c r="E430" s="2" t="s">
        <v>2027</v>
      </c>
    </row>
    <row r="431" spans="1:5" x14ac:dyDescent="0.2">
      <c r="A431" s="2" t="s">
        <v>882</v>
      </c>
      <c r="B431" s="6">
        <v>45525</v>
      </c>
      <c r="C431" s="2">
        <v>38</v>
      </c>
      <c r="D431" s="2" t="s">
        <v>2028</v>
      </c>
      <c r="E431" s="2" t="s">
        <v>2030</v>
      </c>
    </row>
    <row r="432" spans="1:5" x14ac:dyDescent="0.2">
      <c r="A432" s="2" t="s">
        <v>884</v>
      </c>
      <c r="B432" s="6">
        <v>45960</v>
      </c>
      <c r="C432" s="2">
        <v>26</v>
      </c>
      <c r="D432" s="2" t="s">
        <v>2025</v>
      </c>
      <c r="E432" s="2" t="s">
        <v>2027</v>
      </c>
    </row>
    <row r="433" spans="1:5" x14ac:dyDescent="0.2">
      <c r="A433" s="2" t="s">
        <v>886</v>
      </c>
      <c r="B433" s="6">
        <v>45566</v>
      </c>
      <c r="C433" s="2">
        <v>26</v>
      </c>
      <c r="D433" s="2" t="s">
        <v>2028</v>
      </c>
      <c r="E433" s="2" t="s">
        <v>2027</v>
      </c>
    </row>
    <row r="434" spans="1:5" x14ac:dyDescent="0.2">
      <c r="A434" s="2" t="s">
        <v>888</v>
      </c>
      <c r="B434" s="6">
        <v>45450</v>
      </c>
      <c r="C434" s="2">
        <v>50</v>
      </c>
      <c r="D434" s="2" t="s">
        <v>2028</v>
      </c>
      <c r="E434" s="2" t="s">
        <v>2027</v>
      </c>
    </row>
    <row r="435" spans="1:5" x14ac:dyDescent="0.2">
      <c r="A435" s="2" t="s">
        <v>890</v>
      </c>
      <c r="B435" s="6">
        <v>45550</v>
      </c>
      <c r="C435" s="2">
        <v>35</v>
      </c>
      <c r="D435" s="2" t="s">
        <v>2025</v>
      </c>
      <c r="E435" s="2" t="s">
        <v>2026</v>
      </c>
    </row>
    <row r="436" spans="1:5" x14ac:dyDescent="0.2">
      <c r="A436" s="2" t="s">
        <v>892</v>
      </c>
      <c r="B436" s="6">
        <v>45883</v>
      </c>
      <c r="C436" s="2">
        <v>22</v>
      </c>
      <c r="D436" s="2" t="s">
        <v>2025</v>
      </c>
      <c r="E436" s="2" t="s">
        <v>2026</v>
      </c>
    </row>
    <row r="437" spans="1:5" x14ac:dyDescent="0.2">
      <c r="A437" s="2" t="s">
        <v>894</v>
      </c>
      <c r="B437" s="6">
        <v>45688</v>
      </c>
      <c r="C437" s="2">
        <v>55</v>
      </c>
      <c r="D437" s="2" t="s">
        <v>2025</v>
      </c>
      <c r="E437" s="2" t="s">
        <v>2027</v>
      </c>
    </row>
    <row r="438" spans="1:5" x14ac:dyDescent="0.2">
      <c r="A438" s="2" t="s">
        <v>896</v>
      </c>
      <c r="B438" s="6">
        <v>45642</v>
      </c>
      <c r="C438" s="2">
        <v>38</v>
      </c>
      <c r="D438" s="2" t="s">
        <v>2028</v>
      </c>
      <c r="E438" s="2" t="s">
        <v>2026</v>
      </c>
    </row>
    <row r="439" spans="1:5" x14ac:dyDescent="0.2">
      <c r="A439" s="2" t="s">
        <v>898</v>
      </c>
      <c r="B439" s="6">
        <v>45785</v>
      </c>
      <c r="C439" s="2">
        <v>24</v>
      </c>
      <c r="D439" s="2" t="s">
        <v>2025</v>
      </c>
      <c r="E439" s="2" t="s">
        <v>2027</v>
      </c>
    </row>
    <row r="440" spans="1:5" x14ac:dyDescent="0.2">
      <c r="A440" s="2" t="s">
        <v>900</v>
      </c>
      <c r="B440" s="6">
        <v>45641</v>
      </c>
      <c r="C440" s="2">
        <v>50</v>
      </c>
      <c r="D440" s="2" t="s">
        <v>2025</v>
      </c>
      <c r="E440" s="2" t="s">
        <v>2027</v>
      </c>
    </row>
    <row r="441" spans="1:5" x14ac:dyDescent="0.2">
      <c r="A441" s="2" t="s">
        <v>902</v>
      </c>
      <c r="B441" s="6">
        <v>45518</v>
      </c>
      <c r="C441" s="2">
        <v>33</v>
      </c>
      <c r="D441" s="2" t="s">
        <v>2025</v>
      </c>
      <c r="E441" s="2" t="s">
        <v>2030</v>
      </c>
    </row>
    <row r="442" spans="1:5" x14ac:dyDescent="0.2">
      <c r="A442" s="2" t="s">
        <v>904</v>
      </c>
      <c r="B442" s="6">
        <v>45971</v>
      </c>
      <c r="C442" s="2">
        <v>36</v>
      </c>
      <c r="D442" s="2" t="s">
        <v>2028</v>
      </c>
      <c r="E442" s="2" t="s">
        <v>2027</v>
      </c>
    </row>
    <row r="443" spans="1:5" x14ac:dyDescent="0.2">
      <c r="A443" s="2" t="s">
        <v>906</v>
      </c>
      <c r="B443" s="6">
        <v>45815</v>
      </c>
      <c r="C443" s="2">
        <v>39</v>
      </c>
      <c r="D443" s="2" t="s">
        <v>2028</v>
      </c>
      <c r="E443" s="2" t="s">
        <v>2030</v>
      </c>
    </row>
    <row r="444" spans="1:5" x14ac:dyDescent="0.2">
      <c r="A444" s="2" t="s">
        <v>908</v>
      </c>
      <c r="B444" s="6">
        <v>45555</v>
      </c>
      <c r="C444" s="2">
        <v>32</v>
      </c>
      <c r="D444" s="2" t="s">
        <v>2028</v>
      </c>
      <c r="E444" s="2" t="s">
        <v>2027</v>
      </c>
    </row>
    <row r="445" spans="1:5" x14ac:dyDescent="0.2">
      <c r="A445" s="2" t="s">
        <v>910</v>
      </c>
      <c r="B445" s="6">
        <v>45973</v>
      </c>
      <c r="C445" s="2">
        <v>55</v>
      </c>
      <c r="D445" s="2" t="s">
        <v>2028</v>
      </c>
      <c r="E445" s="2" t="s">
        <v>2027</v>
      </c>
    </row>
    <row r="446" spans="1:5" x14ac:dyDescent="0.2">
      <c r="A446" s="2" t="s">
        <v>912</v>
      </c>
      <c r="B446" s="6">
        <v>45567</v>
      </c>
      <c r="C446" s="2">
        <v>54</v>
      </c>
      <c r="D446" s="2" t="s">
        <v>2028</v>
      </c>
      <c r="E446" s="2" t="s">
        <v>2027</v>
      </c>
    </row>
    <row r="447" spans="1:5" x14ac:dyDescent="0.2">
      <c r="A447" s="2" t="s">
        <v>914</v>
      </c>
      <c r="B447" s="6">
        <v>45921</v>
      </c>
      <c r="C447" s="2">
        <v>23</v>
      </c>
      <c r="D447" s="2" t="s">
        <v>2025</v>
      </c>
      <c r="E447" s="2" t="s">
        <v>2027</v>
      </c>
    </row>
    <row r="448" spans="1:5" x14ac:dyDescent="0.2">
      <c r="A448" s="2" t="s">
        <v>916</v>
      </c>
      <c r="B448" s="6">
        <v>45830</v>
      </c>
      <c r="C448" s="2">
        <v>46</v>
      </c>
      <c r="D448" s="2" t="s">
        <v>2028</v>
      </c>
      <c r="E448" s="2" t="s">
        <v>2026</v>
      </c>
    </row>
    <row r="449" spans="1:5" x14ac:dyDescent="0.2">
      <c r="A449" s="2" t="s">
        <v>918</v>
      </c>
      <c r="B449" s="6">
        <v>45411</v>
      </c>
      <c r="C449" s="2">
        <v>20</v>
      </c>
      <c r="D449" s="2" t="s">
        <v>2028</v>
      </c>
      <c r="E449" s="2" t="s">
        <v>2026</v>
      </c>
    </row>
    <row r="450" spans="1:5" x14ac:dyDescent="0.2">
      <c r="A450" s="2" t="s">
        <v>920</v>
      </c>
      <c r="B450" s="6">
        <v>45949</v>
      </c>
      <c r="C450" s="2">
        <v>33</v>
      </c>
      <c r="D450" s="2" t="s">
        <v>2028</v>
      </c>
      <c r="E450" s="2" t="s">
        <v>2027</v>
      </c>
    </row>
    <row r="451" spans="1:5" x14ac:dyDescent="0.2">
      <c r="A451" s="2" t="s">
        <v>922</v>
      </c>
      <c r="B451" s="6">
        <v>45586</v>
      </c>
      <c r="C451" s="2">
        <v>43</v>
      </c>
      <c r="D451" s="2" t="s">
        <v>2025</v>
      </c>
      <c r="E451" s="2" t="s">
        <v>2027</v>
      </c>
    </row>
    <row r="452" spans="1:5" x14ac:dyDescent="0.2">
      <c r="A452" s="2" t="s">
        <v>924</v>
      </c>
      <c r="B452" s="6">
        <v>45778</v>
      </c>
      <c r="C452" s="2">
        <v>26</v>
      </c>
      <c r="D452" s="2" t="s">
        <v>2028</v>
      </c>
      <c r="E452" s="2" t="s">
        <v>2027</v>
      </c>
    </row>
    <row r="453" spans="1:5" x14ac:dyDescent="0.2">
      <c r="A453" s="2" t="s">
        <v>926</v>
      </c>
      <c r="B453" s="6">
        <v>45502</v>
      </c>
      <c r="C453" s="2">
        <v>37</v>
      </c>
      <c r="D453" s="2" t="s">
        <v>2025</v>
      </c>
      <c r="E453" s="2" t="s">
        <v>2027</v>
      </c>
    </row>
    <row r="454" spans="1:5" x14ac:dyDescent="0.2">
      <c r="A454" s="2" t="s">
        <v>928</v>
      </c>
      <c r="B454" s="6">
        <v>45448</v>
      </c>
      <c r="C454" s="2">
        <v>24</v>
      </c>
      <c r="D454" s="2" t="s">
        <v>2028</v>
      </c>
      <c r="E454" s="2" t="s">
        <v>2027</v>
      </c>
    </row>
    <row r="455" spans="1:5" x14ac:dyDescent="0.2">
      <c r="A455" s="2" t="s">
        <v>930</v>
      </c>
      <c r="B455" s="6">
        <v>45823</v>
      </c>
      <c r="C455" s="2">
        <v>23</v>
      </c>
      <c r="D455" s="2" t="s">
        <v>2025</v>
      </c>
      <c r="E455" s="2" t="s">
        <v>2026</v>
      </c>
    </row>
    <row r="456" spans="1:5" x14ac:dyDescent="0.2">
      <c r="A456" s="2" t="s">
        <v>932</v>
      </c>
      <c r="B456" s="6">
        <v>45910</v>
      </c>
      <c r="C456" s="2">
        <v>55</v>
      </c>
      <c r="D456" s="2" t="s">
        <v>2028</v>
      </c>
      <c r="E456" s="2" t="s">
        <v>2027</v>
      </c>
    </row>
    <row r="457" spans="1:5" x14ac:dyDescent="0.2">
      <c r="A457" s="2" t="s">
        <v>934</v>
      </c>
      <c r="B457" s="6">
        <v>45881</v>
      </c>
      <c r="C457" s="2">
        <v>39</v>
      </c>
      <c r="D457" s="2" t="s">
        <v>2028</v>
      </c>
      <c r="E457" s="2" t="s">
        <v>2027</v>
      </c>
    </row>
    <row r="458" spans="1:5" x14ac:dyDescent="0.2">
      <c r="A458" s="2" t="s">
        <v>936</v>
      </c>
      <c r="B458" s="6">
        <v>45584</v>
      </c>
      <c r="C458" s="2">
        <v>50</v>
      </c>
      <c r="D458" s="2" t="s">
        <v>2025</v>
      </c>
      <c r="E458" s="2" t="s">
        <v>2027</v>
      </c>
    </row>
    <row r="459" spans="1:5" x14ac:dyDescent="0.2">
      <c r="A459" s="2" t="s">
        <v>938</v>
      </c>
      <c r="B459" s="6">
        <v>45473</v>
      </c>
      <c r="C459" s="2">
        <v>43</v>
      </c>
      <c r="D459" s="2" t="s">
        <v>2025</v>
      </c>
      <c r="E459" s="2" t="s">
        <v>2027</v>
      </c>
    </row>
    <row r="460" spans="1:5" x14ac:dyDescent="0.2">
      <c r="A460" s="2" t="s">
        <v>940</v>
      </c>
      <c r="B460" s="6">
        <v>45843</v>
      </c>
      <c r="C460" s="2">
        <v>45</v>
      </c>
      <c r="D460" s="2" t="s">
        <v>2025</v>
      </c>
      <c r="E460" s="2" t="s">
        <v>2026</v>
      </c>
    </row>
    <row r="461" spans="1:5" x14ac:dyDescent="0.2">
      <c r="A461" s="2" t="s">
        <v>942</v>
      </c>
      <c r="B461" s="6">
        <v>45610</v>
      </c>
      <c r="C461" s="2">
        <v>51</v>
      </c>
      <c r="D461" s="2" t="s">
        <v>2025</v>
      </c>
      <c r="E461" s="2" t="s">
        <v>2027</v>
      </c>
    </row>
    <row r="462" spans="1:5" x14ac:dyDescent="0.2">
      <c r="A462" s="2" t="s">
        <v>944</v>
      </c>
      <c r="B462" s="6">
        <v>45911</v>
      </c>
      <c r="C462" s="2">
        <v>24</v>
      </c>
      <c r="D462" s="2" t="s">
        <v>2025</v>
      </c>
      <c r="E462" s="2" t="s">
        <v>2026</v>
      </c>
    </row>
    <row r="463" spans="1:5" x14ac:dyDescent="0.2">
      <c r="A463" s="2" t="s">
        <v>946</v>
      </c>
      <c r="B463" s="6">
        <v>45489</v>
      </c>
      <c r="C463" s="2">
        <v>30</v>
      </c>
      <c r="D463" s="2" t="s">
        <v>2028</v>
      </c>
      <c r="E463" s="2" t="s">
        <v>2027</v>
      </c>
    </row>
    <row r="464" spans="1:5" x14ac:dyDescent="0.2">
      <c r="A464" s="2" t="s">
        <v>948</v>
      </c>
      <c r="B464" s="6">
        <v>45841</v>
      </c>
      <c r="C464" s="2">
        <v>33</v>
      </c>
      <c r="D464" s="2" t="s">
        <v>2029</v>
      </c>
      <c r="E464" s="2" t="s">
        <v>2027</v>
      </c>
    </row>
    <row r="465" spans="1:5" x14ac:dyDescent="0.2">
      <c r="A465" s="2" t="s">
        <v>950</v>
      </c>
      <c r="B465" s="6">
        <v>45382</v>
      </c>
      <c r="C465" s="2">
        <v>19</v>
      </c>
      <c r="D465" s="2" t="s">
        <v>2025</v>
      </c>
      <c r="E465" s="2" t="s">
        <v>2027</v>
      </c>
    </row>
    <row r="466" spans="1:5" x14ac:dyDescent="0.2">
      <c r="A466" s="2" t="s">
        <v>952</v>
      </c>
      <c r="B466" s="6">
        <v>45744</v>
      </c>
      <c r="C466" s="2">
        <v>50</v>
      </c>
      <c r="D466" s="2" t="s">
        <v>2025</v>
      </c>
      <c r="E466" s="2" t="s">
        <v>2026</v>
      </c>
    </row>
    <row r="467" spans="1:5" x14ac:dyDescent="0.2">
      <c r="A467" s="2" t="s">
        <v>954</v>
      </c>
      <c r="B467" s="6">
        <v>45689</v>
      </c>
      <c r="C467" s="2">
        <v>32</v>
      </c>
      <c r="D467" s="2" t="s">
        <v>2028</v>
      </c>
      <c r="E467" s="2" t="s">
        <v>2027</v>
      </c>
    </row>
    <row r="468" spans="1:5" x14ac:dyDescent="0.2">
      <c r="A468" s="2" t="s">
        <v>956</v>
      </c>
      <c r="B468" s="6">
        <v>45365</v>
      </c>
      <c r="C468" s="2">
        <v>43</v>
      </c>
      <c r="D468" s="2" t="s">
        <v>2028</v>
      </c>
      <c r="E468" s="2" t="s">
        <v>2027</v>
      </c>
    </row>
    <row r="469" spans="1:5" x14ac:dyDescent="0.2">
      <c r="A469" s="2" t="s">
        <v>958</v>
      </c>
      <c r="B469" s="6">
        <v>45563</v>
      </c>
      <c r="C469" s="2">
        <v>18</v>
      </c>
      <c r="D469" s="2" t="s">
        <v>2025</v>
      </c>
      <c r="E469" s="2" t="s">
        <v>2026</v>
      </c>
    </row>
    <row r="470" spans="1:5" x14ac:dyDescent="0.2">
      <c r="A470" s="2" t="s">
        <v>960</v>
      </c>
      <c r="B470" s="6">
        <v>45753</v>
      </c>
      <c r="C470" s="2">
        <v>19</v>
      </c>
      <c r="D470" s="2" t="s">
        <v>2028</v>
      </c>
      <c r="E470" s="2" t="s">
        <v>2026</v>
      </c>
    </row>
    <row r="471" spans="1:5" x14ac:dyDescent="0.2">
      <c r="A471" s="2" t="s">
        <v>962</v>
      </c>
      <c r="B471" s="6">
        <v>45805</v>
      </c>
      <c r="C471" s="2">
        <v>47</v>
      </c>
      <c r="D471" s="2" t="s">
        <v>2025</v>
      </c>
      <c r="E471" s="2" t="s">
        <v>2027</v>
      </c>
    </row>
    <row r="472" spans="1:5" x14ac:dyDescent="0.2">
      <c r="A472" s="2" t="s">
        <v>964</v>
      </c>
      <c r="B472" s="6">
        <v>45876</v>
      </c>
      <c r="C472" s="2">
        <v>35</v>
      </c>
      <c r="D472" s="2" t="s">
        <v>2028</v>
      </c>
      <c r="E472" s="2" t="s">
        <v>2027</v>
      </c>
    </row>
    <row r="473" spans="1:5" x14ac:dyDescent="0.2">
      <c r="A473" s="2" t="s">
        <v>966</v>
      </c>
      <c r="B473" s="6">
        <v>45642</v>
      </c>
      <c r="C473" s="2">
        <v>29</v>
      </c>
      <c r="D473" s="2" t="s">
        <v>2025</v>
      </c>
      <c r="E473" s="2" t="s">
        <v>2027</v>
      </c>
    </row>
    <row r="474" spans="1:5" x14ac:dyDescent="0.2">
      <c r="A474" s="2" t="s">
        <v>968</v>
      </c>
      <c r="B474" s="6">
        <v>45990</v>
      </c>
      <c r="C474" s="2">
        <v>49</v>
      </c>
      <c r="D474" s="2" t="s">
        <v>2028</v>
      </c>
      <c r="E474" s="2" t="s">
        <v>2027</v>
      </c>
    </row>
    <row r="475" spans="1:5" x14ac:dyDescent="0.2">
      <c r="A475" s="2" t="s">
        <v>970</v>
      </c>
      <c r="B475" s="6">
        <v>45769</v>
      </c>
      <c r="C475" s="2">
        <v>42</v>
      </c>
      <c r="D475" s="2" t="s">
        <v>2028</v>
      </c>
      <c r="E475" s="2" t="s">
        <v>2026</v>
      </c>
    </row>
    <row r="476" spans="1:5" x14ac:dyDescent="0.2">
      <c r="A476" s="2" t="s">
        <v>972</v>
      </c>
      <c r="B476" s="6">
        <v>45947</v>
      </c>
      <c r="C476" s="2">
        <v>42</v>
      </c>
      <c r="D476" s="2" t="s">
        <v>2028</v>
      </c>
      <c r="E476" s="2" t="s">
        <v>2026</v>
      </c>
    </row>
    <row r="477" spans="1:5" x14ac:dyDescent="0.2">
      <c r="A477" s="2" t="s">
        <v>974</v>
      </c>
      <c r="B477" s="6">
        <v>45642</v>
      </c>
      <c r="C477" s="2">
        <v>49</v>
      </c>
      <c r="D477" s="2" t="s">
        <v>2028</v>
      </c>
      <c r="E477" s="2" t="s">
        <v>2026</v>
      </c>
    </row>
    <row r="478" spans="1:5" x14ac:dyDescent="0.2">
      <c r="A478" s="2" t="s">
        <v>976</v>
      </c>
      <c r="B478" s="6">
        <v>45520</v>
      </c>
      <c r="C478" s="2">
        <v>53</v>
      </c>
      <c r="D478" s="2" t="s">
        <v>2028</v>
      </c>
      <c r="E478" s="2" t="s">
        <v>2026</v>
      </c>
    </row>
    <row r="479" spans="1:5" x14ac:dyDescent="0.2">
      <c r="A479" s="2" t="s">
        <v>978</v>
      </c>
      <c r="B479" s="6">
        <v>45777</v>
      </c>
      <c r="C479" s="2">
        <v>20</v>
      </c>
      <c r="D479" s="2" t="s">
        <v>2028</v>
      </c>
      <c r="E479" s="2" t="s">
        <v>2026</v>
      </c>
    </row>
    <row r="480" spans="1:5" x14ac:dyDescent="0.2">
      <c r="A480" s="2" t="s">
        <v>980</v>
      </c>
      <c r="B480" s="6">
        <v>45358</v>
      </c>
      <c r="C480" s="2">
        <v>41</v>
      </c>
      <c r="D480" s="2" t="s">
        <v>2028</v>
      </c>
      <c r="E480" s="2" t="s">
        <v>2027</v>
      </c>
    </row>
    <row r="481" spans="1:5" x14ac:dyDescent="0.2">
      <c r="A481" s="2" t="s">
        <v>982</v>
      </c>
      <c r="B481" s="6">
        <v>45807</v>
      </c>
      <c r="C481" s="2">
        <v>54</v>
      </c>
      <c r="D481" s="2" t="s">
        <v>2025</v>
      </c>
      <c r="E481" s="2" t="s">
        <v>2027</v>
      </c>
    </row>
    <row r="482" spans="1:5" x14ac:dyDescent="0.2">
      <c r="A482" s="2" t="s">
        <v>984</v>
      </c>
      <c r="B482" s="6">
        <v>45373</v>
      </c>
      <c r="C482" s="2">
        <v>52</v>
      </c>
      <c r="D482" s="2" t="s">
        <v>2028</v>
      </c>
      <c r="E482" s="2" t="s">
        <v>2026</v>
      </c>
    </row>
    <row r="483" spans="1:5" x14ac:dyDescent="0.2">
      <c r="A483" s="2" t="s">
        <v>986</v>
      </c>
      <c r="B483" s="6">
        <v>45945</v>
      </c>
      <c r="C483" s="2">
        <v>18</v>
      </c>
      <c r="D483" s="2" t="s">
        <v>2025</v>
      </c>
      <c r="E483" s="2" t="s">
        <v>2027</v>
      </c>
    </row>
    <row r="484" spans="1:5" x14ac:dyDescent="0.2">
      <c r="A484" s="2" t="s">
        <v>988</v>
      </c>
      <c r="B484" s="6">
        <v>45469</v>
      </c>
      <c r="C484" s="2">
        <v>40</v>
      </c>
      <c r="D484" s="2" t="s">
        <v>2028</v>
      </c>
      <c r="E484" s="2" t="s">
        <v>2027</v>
      </c>
    </row>
    <row r="485" spans="1:5" x14ac:dyDescent="0.2">
      <c r="A485" s="2" t="s">
        <v>990</v>
      </c>
      <c r="B485" s="6">
        <v>45688</v>
      </c>
      <c r="C485" s="2">
        <v>33</v>
      </c>
      <c r="D485" s="2" t="s">
        <v>2025</v>
      </c>
      <c r="E485" s="2" t="s">
        <v>2026</v>
      </c>
    </row>
    <row r="486" spans="1:5" x14ac:dyDescent="0.2">
      <c r="A486" s="2" t="s">
        <v>992</v>
      </c>
      <c r="B486" s="6">
        <v>45397</v>
      </c>
      <c r="C486" s="2">
        <v>48</v>
      </c>
      <c r="D486" s="2" t="s">
        <v>2028</v>
      </c>
      <c r="E486" s="2" t="s">
        <v>2027</v>
      </c>
    </row>
    <row r="487" spans="1:5" x14ac:dyDescent="0.2">
      <c r="A487" s="2" t="s">
        <v>994</v>
      </c>
      <c r="B487" s="6">
        <v>45846</v>
      </c>
      <c r="C487" s="2">
        <v>53</v>
      </c>
      <c r="D487" s="2" t="s">
        <v>2028</v>
      </c>
      <c r="E487" s="2" t="s">
        <v>2027</v>
      </c>
    </row>
    <row r="488" spans="1:5" x14ac:dyDescent="0.2">
      <c r="A488" s="2" t="s">
        <v>996</v>
      </c>
      <c r="B488" s="6">
        <v>45803</v>
      </c>
      <c r="C488" s="2">
        <v>19</v>
      </c>
      <c r="D488" s="2" t="s">
        <v>2028</v>
      </c>
      <c r="E488" s="2" t="s">
        <v>2026</v>
      </c>
    </row>
    <row r="489" spans="1:5" x14ac:dyDescent="0.2">
      <c r="A489" s="2" t="s">
        <v>998</v>
      </c>
      <c r="B489" s="6">
        <v>45765</v>
      </c>
      <c r="C489" s="2">
        <v>33</v>
      </c>
      <c r="D489" s="2" t="s">
        <v>2025</v>
      </c>
      <c r="E489" s="2" t="s">
        <v>2027</v>
      </c>
    </row>
    <row r="490" spans="1:5" x14ac:dyDescent="0.2">
      <c r="A490" s="2" t="s">
        <v>1000</v>
      </c>
      <c r="B490" s="6">
        <v>45582</v>
      </c>
      <c r="C490" s="2">
        <v>35</v>
      </c>
      <c r="D490" s="2" t="s">
        <v>2025</v>
      </c>
      <c r="E490" s="2" t="s">
        <v>2027</v>
      </c>
    </row>
    <row r="491" spans="1:5" x14ac:dyDescent="0.2">
      <c r="A491" s="2" t="s">
        <v>1002</v>
      </c>
      <c r="B491" s="6">
        <v>45408</v>
      </c>
      <c r="C491" s="2">
        <v>47</v>
      </c>
      <c r="D491" s="2" t="s">
        <v>2025</v>
      </c>
      <c r="E491" s="2" t="s">
        <v>2027</v>
      </c>
    </row>
    <row r="492" spans="1:5" x14ac:dyDescent="0.2">
      <c r="A492" s="2" t="s">
        <v>1004</v>
      </c>
      <c r="B492" s="6">
        <v>45365</v>
      </c>
      <c r="C492" s="2">
        <v>24</v>
      </c>
      <c r="D492" s="2" t="s">
        <v>2028</v>
      </c>
      <c r="E492" s="2" t="s">
        <v>2027</v>
      </c>
    </row>
    <row r="493" spans="1:5" x14ac:dyDescent="0.2">
      <c r="A493" s="2" t="s">
        <v>1006</v>
      </c>
      <c r="B493" s="6">
        <v>45520</v>
      </c>
      <c r="C493" s="2">
        <v>39</v>
      </c>
      <c r="D493" s="2" t="s">
        <v>2028</v>
      </c>
      <c r="E493" s="2" t="s">
        <v>2027</v>
      </c>
    </row>
    <row r="494" spans="1:5" x14ac:dyDescent="0.2">
      <c r="A494" s="2" t="s">
        <v>1008</v>
      </c>
      <c r="B494" s="6">
        <v>45629</v>
      </c>
      <c r="C494" s="2">
        <v>46</v>
      </c>
      <c r="D494" s="2" t="s">
        <v>2028</v>
      </c>
      <c r="E494" s="2" t="s">
        <v>2026</v>
      </c>
    </row>
    <row r="495" spans="1:5" x14ac:dyDescent="0.2">
      <c r="A495" s="2" t="s">
        <v>1010</v>
      </c>
      <c r="B495" s="6">
        <v>45857</v>
      </c>
      <c r="C495" s="2">
        <v>46</v>
      </c>
      <c r="D495" s="2" t="s">
        <v>2025</v>
      </c>
      <c r="E495" s="2" t="s">
        <v>2027</v>
      </c>
    </row>
    <row r="496" spans="1:5" x14ac:dyDescent="0.2">
      <c r="A496" s="2" t="s">
        <v>1012</v>
      </c>
      <c r="B496" s="6">
        <v>45445</v>
      </c>
      <c r="C496" s="2">
        <v>39</v>
      </c>
      <c r="D496" s="2" t="s">
        <v>2025</v>
      </c>
      <c r="E496" s="2" t="s">
        <v>2026</v>
      </c>
    </row>
    <row r="497" spans="1:5" x14ac:dyDescent="0.2">
      <c r="A497" s="2" t="s">
        <v>1014</v>
      </c>
      <c r="B497" s="6">
        <v>45347</v>
      </c>
      <c r="C497" s="2">
        <v>53</v>
      </c>
      <c r="D497" s="2" t="s">
        <v>2025</v>
      </c>
      <c r="E497" s="2" t="s">
        <v>2027</v>
      </c>
    </row>
    <row r="498" spans="1:5" x14ac:dyDescent="0.2">
      <c r="A498" s="2" t="s">
        <v>1016</v>
      </c>
      <c r="B498" s="6">
        <v>45680</v>
      </c>
      <c r="C498" s="2">
        <v>49</v>
      </c>
      <c r="D498" s="2" t="s">
        <v>2025</v>
      </c>
      <c r="E498" s="2" t="s">
        <v>2026</v>
      </c>
    </row>
    <row r="499" spans="1:5" x14ac:dyDescent="0.2">
      <c r="A499" s="2" t="s">
        <v>1018</v>
      </c>
      <c r="B499" s="6">
        <v>45913</v>
      </c>
      <c r="C499" s="2">
        <v>34</v>
      </c>
      <c r="D499" s="2" t="s">
        <v>2025</v>
      </c>
      <c r="E499" s="2" t="s">
        <v>2026</v>
      </c>
    </row>
    <row r="500" spans="1:5" x14ac:dyDescent="0.2">
      <c r="A500" s="2" t="s">
        <v>1020</v>
      </c>
      <c r="B500" s="6">
        <v>45909</v>
      </c>
      <c r="C500" s="2">
        <v>43</v>
      </c>
      <c r="D500" s="2" t="s">
        <v>2025</v>
      </c>
      <c r="E500" s="2" t="s">
        <v>2027</v>
      </c>
    </row>
    <row r="501" spans="1:5" x14ac:dyDescent="0.2">
      <c r="A501" s="2" t="s">
        <v>1022</v>
      </c>
      <c r="B501" s="6">
        <v>45527</v>
      </c>
      <c r="C501" s="2">
        <v>53</v>
      </c>
      <c r="D501" s="2" t="s">
        <v>2025</v>
      </c>
      <c r="E501" s="2" t="s">
        <v>2030</v>
      </c>
    </row>
    <row r="502" spans="1:5" x14ac:dyDescent="0.2">
      <c r="A502" s="2" t="s">
        <v>1024</v>
      </c>
      <c r="B502" s="6">
        <v>45646</v>
      </c>
      <c r="C502" s="2">
        <v>21</v>
      </c>
      <c r="D502" s="2" t="s">
        <v>2028</v>
      </c>
      <c r="E502" s="2" t="s">
        <v>2027</v>
      </c>
    </row>
    <row r="503" spans="1:5" x14ac:dyDescent="0.2">
      <c r="A503" s="2" t="s">
        <v>1026</v>
      </c>
      <c r="B503" s="6">
        <v>45784</v>
      </c>
      <c r="C503" s="2">
        <v>49</v>
      </c>
      <c r="D503" s="2" t="s">
        <v>2028</v>
      </c>
      <c r="E503" s="2" t="s">
        <v>2026</v>
      </c>
    </row>
    <row r="504" spans="1:5" x14ac:dyDescent="0.2">
      <c r="A504" s="2" t="s">
        <v>1028</v>
      </c>
      <c r="B504" s="6">
        <v>45361</v>
      </c>
      <c r="C504" s="2">
        <v>27</v>
      </c>
      <c r="D504" s="2" t="s">
        <v>2028</v>
      </c>
      <c r="E504" s="2" t="s">
        <v>2026</v>
      </c>
    </row>
    <row r="505" spans="1:5" x14ac:dyDescent="0.2">
      <c r="A505" s="2" t="s">
        <v>1030</v>
      </c>
      <c r="B505" s="6">
        <v>45420</v>
      </c>
      <c r="C505" s="2">
        <v>24</v>
      </c>
      <c r="D505" s="2" t="s">
        <v>2025</v>
      </c>
      <c r="E505" s="2" t="s">
        <v>2026</v>
      </c>
    </row>
    <row r="506" spans="1:5" x14ac:dyDescent="0.2">
      <c r="A506" s="2" t="s">
        <v>1032</v>
      </c>
      <c r="B506" s="6">
        <v>45554</v>
      </c>
      <c r="C506" s="2">
        <v>26</v>
      </c>
      <c r="D506" s="2" t="s">
        <v>2025</v>
      </c>
      <c r="E506" s="2" t="s">
        <v>2027</v>
      </c>
    </row>
    <row r="507" spans="1:5" x14ac:dyDescent="0.2">
      <c r="A507" s="2" t="s">
        <v>1034</v>
      </c>
      <c r="B507" s="6">
        <v>45403</v>
      </c>
      <c r="C507" s="2">
        <v>47</v>
      </c>
      <c r="D507" s="2" t="s">
        <v>2025</v>
      </c>
      <c r="E507" s="2" t="s">
        <v>2027</v>
      </c>
    </row>
    <row r="508" spans="1:5" x14ac:dyDescent="0.2">
      <c r="A508" s="2" t="s">
        <v>1036</v>
      </c>
      <c r="B508" s="6">
        <v>45932</v>
      </c>
      <c r="C508" s="2">
        <v>18</v>
      </c>
      <c r="D508" s="2" t="s">
        <v>2028</v>
      </c>
      <c r="E508" s="2" t="s">
        <v>2027</v>
      </c>
    </row>
    <row r="509" spans="1:5" x14ac:dyDescent="0.2">
      <c r="A509" s="2" t="s">
        <v>1038</v>
      </c>
      <c r="B509" s="6">
        <v>45764</v>
      </c>
      <c r="C509" s="2">
        <v>38</v>
      </c>
      <c r="D509" s="2" t="s">
        <v>2025</v>
      </c>
      <c r="E509" s="2" t="s">
        <v>2026</v>
      </c>
    </row>
    <row r="510" spans="1:5" x14ac:dyDescent="0.2">
      <c r="A510" s="2" t="s">
        <v>1040</v>
      </c>
      <c r="B510" s="6">
        <v>45757</v>
      </c>
      <c r="C510" s="2">
        <v>21</v>
      </c>
      <c r="D510" s="2" t="s">
        <v>2028</v>
      </c>
      <c r="E510" s="2" t="s">
        <v>2030</v>
      </c>
    </row>
    <row r="511" spans="1:5" x14ac:dyDescent="0.2">
      <c r="A511" s="2" t="s">
        <v>1042</v>
      </c>
      <c r="B511" s="6">
        <v>45731</v>
      </c>
      <c r="C511" s="2">
        <v>47</v>
      </c>
      <c r="D511" s="2" t="s">
        <v>2025</v>
      </c>
      <c r="E511" s="2" t="s">
        <v>2026</v>
      </c>
    </row>
    <row r="512" spans="1:5" x14ac:dyDescent="0.2">
      <c r="A512" s="2" t="s">
        <v>1044</v>
      </c>
      <c r="B512" s="6">
        <v>45354</v>
      </c>
      <c r="C512" s="2">
        <v>22</v>
      </c>
      <c r="D512" s="2" t="s">
        <v>2028</v>
      </c>
      <c r="E512" s="2" t="s">
        <v>2026</v>
      </c>
    </row>
    <row r="513" spans="1:5" x14ac:dyDescent="0.2">
      <c r="A513" s="2" t="s">
        <v>1046</v>
      </c>
      <c r="B513" s="6">
        <v>45604</v>
      </c>
      <c r="C513" s="2">
        <v>46</v>
      </c>
      <c r="D513" s="2" t="s">
        <v>2028</v>
      </c>
      <c r="E513" s="2" t="s">
        <v>2027</v>
      </c>
    </row>
    <row r="514" spans="1:5" x14ac:dyDescent="0.2">
      <c r="A514" s="2" t="s">
        <v>1048</v>
      </c>
      <c r="B514" s="6">
        <v>45485</v>
      </c>
      <c r="C514" s="2">
        <v>47</v>
      </c>
      <c r="D514" s="2" t="s">
        <v>2028</v>
      </c>
      <c r="E514" s="2" t="s">
        <v>2027</v>
      </c>
    </row>
    <row r="515" spans="1:5" x14ac:dyDescent="0.2">
      <c r="A515" s="2" t="s">
        <v>1050</v>
      </c>
      <c r="B515" s="6">
        <v>45525</v>
      </c>
      <c r="C515" s="2">
        <v>32</v>
      </c>
      <c r="D515" s="2" t="s">
        <v>2025</v>
      </c>
      <c r="E515" s="2" t="s">
        <v>2027</v>
      </c>
    </row>
    <row r="516" spans="1:5" x14ac:dyDescent="0.2">
      <c r="A516" s="2" t="s">
        <v>1052</v>
      </c>
      <c r="B516" s="6">
        <v>45823</v>
      </c>
      <c r="C516" s="2">
        <v>33</v>
      </c>
      <c r="D516" s="2" t="s">
        <v>2025</v>
      </c>
      <c r="E516" s="2" t="s">
        <v>2027</v>
      </c>
    </row>
    <row r="517" spans="1:5" x14ac:dyDescent="0.2">
      <c r="A517" s="2" t="s">
        <v>1054</v>
      </c>
      <c r="B517" s="6">
        <v>45580</v>
      </c>
      <c r="C517" s="2">
        <v>36</v>
      </c>
      <c r="D517" s="2" t="s">
        <v>2028</v>
      </c>
      <c r="E517" s="2" t="s">
        <v>2027</v>
      </c>
    </row>
    <row r="518" spans="1:5" x14ac:dyDescent="0.2">
      <c r="A518" s="2" t="s">
        <v>1056</v>
      </c>
      <c r="B518" s="6">
        <v>45673</v>
      </c>
      <c r="C518" s="2">
        <v>34</v>
      </c>
      <c r="D518" s="2" t="s">
        <v>2025</v>
      </c>
      <c r="E518" s="2" t="s">
        <v>2027</v>
      </c>
    </row>
    <row r="519" spans="1:5" x14ac:dyDescent="0.2">
      <c r="A519" s="2" t="s">
        <v>1058</v>
      </c>
      <c r="B519" s="6">
        <v>45780</v>
      </c>
      <c r="C519" s="2">
        <v>33</v>
      </c>
      <c r="D519" s="2" t="s">
        <v>2028</v>
      </c>
      <c r="E519" s="2" t="s">
        <v>2030</v>
      </c>
    </row>
    <row r="520" spans="1:5" x14ac:dyDescent="0.2">
      <c r="A520" s="2" t="s">
        <v>1060</v>
      </c>
      <c r="B520" s="6">
        <v>45605</v>
      </c>
      <c r="C520" s="2">
        <v>24</v>
      </c>
      <c r="D520" s="2" t="s">
        <v>2025</v>
      </c>
      <c r="E520" s="2" t="s">
        <v>2027</v>
      </c>
    </row>
    <row r="521" spans="1:5" x14ac:dyDescent="0.2">
      <c r="A521" s="2" t="s">
        <v>1062</v>
      </c>
      <c r="B521" s="6">
        <v>45456</v>
      </c>
      <c r="C521" s="2">
        <v>23</v>
      </c>
      <c r="D521" s="2" t="s">
        <v>2028</v>
      </c>
      <c r="E521" s="2" t="s">
        <v>2027</v>
      </c>
    </row>
    <row r="522" spans="1:5" x14ac:dyDescent="0.2">
      <c r="A522" s="2" t="s">
        <v>1064</v>
      </c>
      <c r="B522" s="6">
        <v>45985</v>
      </c>
      <c r="C522" s="2">
        <v>30</v>
      </c>
      <c r="D522" s="2" t="s">
        <v>2025</v>
      </c>
      <c r="E522" s="2" t="s">
        <v>2027</v>
      </c>
    </row>
    <row r="523" spans="1:5" x14ac:dyDescent="0.2">
      <c r="A523" s="2" t="s">
        <v>1066</v>
      </c>
      <c r="B523" s="6">
        <v>45608</v>
      </c>
      <c r="C523" s="2">
        <v>53</v>
      </c>
      <c r="D523" s="2" t="s">
        <v>2028</v>
      </c>
      <c r="E523" s="2" t="s">
        <v>2026</v>
      </c>
    </row>
    <row r="524" spans="1:5" x14ac:dyDescent="0.2">
      <c r="A524" s="2" t="s">
        <v>1068</v>
      </c>
      <c r="B524" s="6">
        <v>45747</v>
      </c>
      <c r="C524" s="2">
        <v>32</v>
      </c>
      <c r="D524" s="2" t="s">
        <v>2028</v>
      </c>
      <c r="E524" s="2" t="s">
        <v>2027</v>
      </c>
    </row>
    <row r="525" spans="1:5" x14ac:dyDescent="0.2">
      <c r="A525" s="2" t="s">
        <v>1070</v>
      </c>
      <c r="B525" s="6">
        <v>45550</v>
      </c>
      <c r="C525" s="2">
        <v>35</v>
      </c>
      <c r="D525" s="2" t="s">
        <v>2025</v>
      </c>
      <c r="E525" s="2" t="s">
        <v>2030</v>
      </c>
    </row>
    <row r="526" spans="1:5" x14ac:dyDescent="0.2">
      <c r="A526" s="2" t="s">
        <v>1072</v>
      </c>
      <c r="B526" s="6">
        <v>45799</v>
      </c>
      <c r="C526" s="2">
        <v>39</v>
      </c>
      <c r="D526" s="2" t="s">
        <v>2028</v>
      </c>
      <c r="E526" s="2" t="s">
        <v>2030</v>
      </c>
    </row>
    <row r="527" spans="1:5" x14ac:dyDescent="0.2">
      <c r="A527" s="2" t="s">
        <v>1074</v>
      </c>
      <c r="B527" s="6">
        <v>45911</v>
      </c>
      <c r="C527" s="2">
        <v>40</v>
      </c>
      <c r="D527" s="2" t="s">
        <v>2028</v>
      </c>
      <c r="E527" s="2" t="s">
        <v>2027</v>
      </c>
    </row>
    <row r="528" spans="1:5" x14ac:dyDescent="0.2">
      <c r="A528" s="2" t="s">
        <v>1076</v>
      </c>
      <c r="B528" s="6">
        <v>45915</v>
      </c>
      <c r="C528" s="2">
        <v>29</v>
      </c>
      <c r="D528" s="2" t="s">
        <v>2028</v>
      </c>
      <c r="E528" s="2" t="s">
        <v>2026</v>
      </c>
    </row>
    <row r="529" spans="1:5" x14ac:dyDescent="0.2">
      <c r="A529" s="2" t="s">
        <v>1078</v>
      </c>
      <c r="B529" s="6">
        <v>45518</v>
      </c>
      <c r="C529" s="2">
        <v>54</v>
      </c>
      <c r="D529" s="2" t="s">
        <v>2028</v>
      </c>
      <c r="E529" s="2" t="s">
        <v>2027</v>
      </c>
    </row>
    <row r="530" spans="1:5" x14ac:dyDescent="0.2">
      <c r="A530" s="2" t="s">
        <v>1080</v>
      </c>
      <c r="B530" s="6">
        <v>45606</v>
      </c>
      <c r="C530" s="2">
        <v>36</v>
      </c>
      <c r="D530" s="2" t="s">
        <v>2028</v>
      </c>
      <c r="E530" s="2" t="s">
        <v>2030</v>
      </c>
    </row>
    <row r="531" spans="1:5" x14ac:dyDescent="0.2">
      <c r="A531" s="2" t="s">
        <v>1082</v>
      </c>
      <c r="B531" s="6">
        <v>45571</v>
      </c>
      <c r="C531" s="2">
        <v>29</v>
      </c>
      <c r="D531" s="2" t="s">
        <v>2025</v>
      </c>
      <c r="E531" s="2" t="s">
        <v>2027</v>
      </c>
    </row>
    <row r="532" spans="1:5" x14ac:dyDescent="0.2">
      <c r="A532" s="2" t="s">
        <v>1084</v>
      </c>
      <c r="B532" s="6">
        <v>45971</v>
      </c>
      <c r="C532" s="2">
        <v>54</v>
      </c>
      <c r="D532" s="2" t="s">
        <v>2025</v>
      </c>
      <c r="E532" s="2" t="s">
        <v>2027</v>
      </c>
    </row>
    <row r="533" spans="1:5" x14ac:dyDescent="0.2">
      <c r="A533" s="2" t="s">
        <v>1086</v>
      </c>
      <c r="B533" s="6">
        <v>45431</v>
      </c>
      <c r="C533" s="2">
        <v>23</v>
      </c>
      <c r="D533" s="2" t="s">
        <v>2028</v>
      </c>
      <c r="E533" s="2" t="s">
        <v>2027</v>
      </c>
    </row>
    <row r="534" spans="1:5" x14ac:dyDescent="0.2">
      <c r="A534" s="2" t="s">
        <v>1088</v>
      </c>
      <c r="B534" s="6">
        <v>45900</v>
      </c>
      <c r="C534" s="2">
        <v>19</v>
      </c>
      <c r="D534" s="2" t="s">
        <v>2028</v>
      </c>
      <c r="E534" s="2" t="s">
        <v>2026</v>
      </c>
    </row>
    <row r="535" spans="1:5" x14ac:dyDescent="0.2">
      <c r="A535" s="2" t="s">
        <v>1090</v>
      </c>
      <c r="B535" s="6">
        <v>45769</v>
      </c>
      <c r="C535" s="2">
        <v>34</v>
      </c>
      <c r="D535" s="2" t="s">
        <v>2025</v>
      </c>
      <c r="E535" s="2" t="s">
        <v>2027</v>
      </c>
    </row>
    <row r="536" spans="1:5" x14ac:dyDescent="0.2">
      <c r="A536" s="2" t="s">
        <v>1092</v>
      </c>
      <c r="B536" s="6">
        <v>45986</v>
      </c>
      <c r="C536" s="2">
        <v>45</v>
      </c>
      <c r="D536" s="2" t="s">
        <v>2028</v>
      </c>
      <c r="E536" s="2" t="s">
        <v>2027</v>
      </c>
    </row>
    <row r="537" spans="1:5" x14ac:dyDescent="0.2">
      <c r="A537" s="2" t="s">
        <v>1094</v>
      </c>
      <c r="B537" s="6">
        <v>45500</v>
      </c>
      <c r="C537" s="2">
        <v>39</v>
      </c>
      <c r="D537" s="2" t="s">
        <v>2028</v>
      </c>
      <c r="E537" s="2" t="s">
        <v>2027</v>
      </c>
    </row>
    <row r="538" spans="1:5" x14ac:dyDescent="0.2">
      <c r="A538" s="2" t="s">
        <v>1096</v>
      </c>
      <c r="B538" s="6">
        <v>45568</v>
      </c>
      <c r="C538" s="2">
        <v>41</v>
      </c>
      <c r="D538" s="2" t="s">
        <v>2028</v>
      </c>
      <c r="E538" s="2" t="s">
        <v>2026</v>
      </c>
    </row>
    <row r="539" spans="1:5" x14ac:dyDescent="0.2">
      <c r="A539" s="2" t="s">
        <v>1098</v>
      </c>
      <c r="B539" s="6">
        <v>45955</v>
      </c>
      <c r="C539" s="2">
        <v>49</v>
      </c>
      <c r="D539" s="2" t="s">
        <v>2028</v>
      </c>
      <c r="E539" s="2" t="s">
        <v>2027</v>
      </c>
    </row>
    <row r="540" spans="1:5" x14ac:dyDescent="0.2">
      <c r="A540" s="2" t="s">
        <v>1100</v>
      </c>
      <c r="B540" s="6">
        <v>45744</v>
      </c>
      <c r="C540" s="2">
        <v>42</v>
      </c>
      <c r="D540" s="2" t="s">
        <v>2028</v>
      </c>
      <c r="E540" s="2" t="s">
        <v>2026</v>
      </c>
    </row>
    <row r="541" spans="1:5" x14ac:dyDescent="0.2">
      <c r="A541" s="2" t="s">
        <v>1102</v>
      </c>
      <c r="B541" s="6">
        <v>45716</v>
      </c>
      <c r="C541" s="2">
        <v>23</v>
      </c>
      <c r="D541" s="2" t="s">
        <v>2025</v>
      </c>
      <c r="E541" s="2" t="s">
        <v>2026</v>
      </c>
    </row>
    <row r="542" spans="1:5" x14ac:dyDescent="0.2">
      <c r="A542" s="2" t="s">
        <v>1104</v>
      </c>
      <c r="B542" s="6">
        <v>45360</v>
      </c>
      <c r="C542" s="2">
        <v>34</v>
      </c>
      <c r="D542" s="2" t="s">
        <v>2028</v>
      </c>
      <c r="E542" s="2" t="s">
        <v>2026</v>
      </c>
    </row>
    <row r="543" spans="1:5" x14ac:dyDescent="0.2">
      <c r="A543" s="2" t="s">
        <v>1106</v>
      </c>
      <c r="B543" s="6">
        <v>45657</v>
      </c>
      <c r="C543" s="2">
        <v>43</v>
      </c>
      <c r="D543" s="2" t="s">
        <v>2025</v>
      </c>
      <c r="E543" s="2" t="s">
        <v>2030</v>
      </c>
    </row>
    <row r="544" spans="1:5" x14ac:dyDescent="0.2">
      <c r="A544" s="2" t="s">
        <v>1108</v>
      </c>
      <c r="B544" s="6">
        <v>45477</v>
      </c>
      <c r="C544" s="2">
        <v>39</v>
      </c>
      <c r="D544" s="2" t="s">
        <v>2029</v>
      </c>
      <c r="E544" s="2" t="s">
        <v>2026</v>
      </c>
    </row>
    <row r="545" spans="1:5" x14ac:dyDescent="0.2">
      <c r="A545" s="2" t="s">
        <v>1110</v>
      </c>
      <c r="B545" s="6">
        <v>45802</v>
      </c>
      <c r="C545" s="2">
        <v>21</v>
      </c>
      <c r="D545" s="2" t="s">
        <v>2025</v>
      </c>
      <c r="E545" s="2" t="s">
        <v>2027</v>
      </c>
    </row>
    <row r="546" spans="1:5" x14ac:dyDescent="0.2">
      <c r="A546" s="2" t="s">
        <v>1112</v>
      </c>
      <c r="B546" s="6">
        <v>45565</v>
      </c>
      <c r="C546" s="2">
        <v>35</v>
      </c>
      <c r="D546" s="2" t="s">
        <v>2028</v>
      </c>
      <c r="E546" s="2" t="s">
        <v>2027</v>
      </c>
    </row>
    <row r="547" spans="1:5" x14ac:dyDescent="0.2">
      <c r="A547" s="2" t="s">
        <v>1114</v>
      </c>
      <c r="B547" s="6">
        <v>45456</v>
      </c>
      <c r="C547" s="2">
        <v>24</v>
      </c>
      <c r="D547" s="2" t="s">
        <v>2025</v>
      </c>
      <c r="E547" s="2" t="s">
        <v>2027</v>
      </c>
    </row>
    <row r="548" spans="1:5" x14ac:dyDescent="0.2">
      <c r="A548" s="2" t="s">
        <v>1116</v>
      </c>
      <c r="B548" s="6">
        <v>45637</v>
      </c>
      <c r="C548" s="2">
        <v>19</v>
      </c>
      <c r="D548" s="2" t="s">
        <v>2025</v>
      </c>
      <c r="E548" s="2" t="s">
        <v>2027</v>
      </c>
    </row>
    <row r="549" spans="1:5" x14ac:dyDescent="0.2">
      <c r="A549" s="2" t="s">
        <v>1118</v>
      </c>
      <c r="B549" s="6">
        <v>45607</v>
      </c>
      <c r="C549" s="2">
        <v>25</v>
      </c>
      <c r="D549" s="2" t="s">
        <v>2028</v>
      </c>
      <c r="E549" s="2" t="s">
        <v>2027</v>
      </c>
    </row>
    <row r="550" spans="1:5" x14ac:dyDescent="0.2">
      <c r="A550" s="2" t="s">
        <v>1120</v>
      </c>
      <c r="B550" s="6">
        <v>45509</v>
      </c>
      <c r="C550" s="2">
        <v>47</v>
      </c>
      <c r="D550" s="2" t="s">
        <v>2025</v>
      </c>
      <c r="E550" s="2" t="s">
        <v>2027</v>
      </c>
    </row>
    <row r="551" spans="1:5" x14ac:dyDescent="0.2">
      <c r="A551" s="2" t="s">
        <v>1122</v>
      </c>
      <c r="B551" s="6">
        <v>45352</v>
      </c>
      <c r="C551" s="2">
        <v>40</v>
      </c>
      <c r="D551" s="2" t="s">
        <v>2028</v>
      </c>
      <c r="E551" s="2" t="s">
        <v>2027</v>
      </c>
    </row>
    <row r="552" spans="1:5" x14ac:dyDescent="0.2">
      <c r="A552" s="2" t="s">
        <v>1124</v>
      </c>
      <c r="B552" s="6">
        <v>45866</v>
      </c>
      <c r="C552" s="2">
        <v>35</v>
      </c>
      <c r="D552" s="2" t="s">
        <v>2025</v>
      </c>
      <c r="E552" s="2" t="s">
        <v>2026</v>
      </c>
    </row>
    <row r="553" spans="1:5" x14ac:dyDescent="0.2">
      <c r="A553" s="2" t="s">
        <v>1126</v>
      </c>
      <c r="B553" s="6">
        <v>45350</v>
      </c>
      <c r="C553" s="2">
        <v>47</v>
      </c>
      <c r="D553" s="2" t="s">
        <v>2028</v>
      </c>
      <c r="E553" s="2" t="s">
        <v>2026</v>
      </c>
    </row>
    <row r="554" spans="1:5" x14ac:dyDescent="0.2">
      <c r="A554" s="2" t="s">
        <v>1128</v>
      </c>
      <c r="B554" s="6">
        <v>45677</v>
      </c>
      <c r="C554" s="2">
        <v>33</v>
      </c>
      <c r="D554" s="2" t="s">
        <v>2028</v>
      </c>
      <c r="E554" s="2" t="s">
        <v>2027</v>
      </c>
    </row>
    <row r="555" spans="1:5" x14ac:dyDescent="0.2">
      <c r="A555" s="2" t="s">
        <v>1130</v>
      </c>
      <c r="B555" s="6">
        <v>45746</v>
      </c>
      <c r="C555" s="2">
        <v>43</v>
      </c>
      <c r="D555" s="2" t="s">
        <v>2025</v>
      </c>
      <c r="E555" s="2" t="s">
        <v>2030</v>
      </c>
    </row>
    <row r="556" spans="1:5" x14ac:dyDescent="0.2">
      <c r="A556" s="2" t="s">
        <v>1132</v>
      </c>
      <c r="B556" s="6">
        <v>45361</v>
      </c>
      <c r="C556" s="2">
        <v>20</v>
      </c>
      <c r="D556" s="2" t="s">
        <v>2025</v>
      </c>
      <c r="E556" s="2" t="s">
        <v>2027</v>
      </c>
    </row>
    <row r="557" spans="1:5" x14ac:dyDescent="0.2">
      <c r="A557" s="2" t="s">
        <v>1134</v>
      </c>
      <c r="B557" s="6">
        <v>45732</v>
      </c>
      <c r="C557" s="2">
        <v>46</v>
      </c>
      <c r="D557" s="2" t="s">
        <v>2028</v>
      </c>
      <c r="E557" s="2" t="s">
        <v>2027</v>
      </c>
    </row>
    <row r="558" spans="1:5" x14ac:dyDescent="0.2">
      <c r="A558" s="2" t="s">
        <v>1136</v>
      </c>
      <c r="B558" s="6">
        <v>45955</v>
      </c>
      <c r="C558" s="2">
        <v>47</v>
      </c>
      <c r="D558" s="2" t="s">
        <v>2025</v>
      </c>
      <c r="E558" s="2" t="s">
        <v>2026</v>
      </c>
    </row>
    <row r="559" spans="1:5" x14ac:dyDescent="0.2">
      <c r="A559" s="2" t="s">
        <v>1138</v>
      </c>
      <c r="B559" s="6">
        <v>45919</v>
      </c>
      <c r="C559" s="2">
        <v>51</v>
      </c>
      <c r="D559" s="2" t="s">
        <v>2028</v>
      </c>
      <c r="E559" s="2" t="s">
        <v>2030</v>
      </c>
    </row>
    <row r="560" spans="1:5" x14ac:dyDescent="0.2">
      <c r="A560" s="2" t="s">
        <v>1140</v>
      </c>
      <c r="B560" s="6">
        <v>45563</v>
      </c>
      <c r="C560" s="2">
        <v>26</v>
      </c>
      <c r="D560" s="2" t="s">
        <v>2029</v>
      </c>
      <c r="E560" s="2" t="s">
        <v>2026</v>
      </c>
    </row>
    <row r="561" spans="1:5" x14ac:dyDescent="0.2">
      <c r="A561" s="2" t="s">
        <v>1142</v>
      </c>
      <c r="B561" s="6">
        <v>45536</v>
      </c>
      <c r="C561" s="2">
        <v>26</v>
      </c>
      <c r="D561" s="2" t="s">
        <v>2028</v>
      </c>
      <c r="E561" s="2" t="s">
        <v>2026</v>
      </c>
    </row>
    <row r="562" spans="1:5" x14ac:dyDescent="0.2">
      <c r="A562" s="2" t="s">
        <v>1144</v>
      </c>
      <c r="B562" s="6">
        <v>45651</v>
      </c>
      <c r="C562" s="2">
        <v>42</v>
      </c>
      <c r="D562" s="2" t="s">
        <v>2025</v>
      </c>
      <c r="E562" s="2" t="s">
        <v>2027</v>
      </c>
    </row>
    <row r="563" spans="1:5" x14ac:dyDescent="0.2">
      <c r="A563" s="2" t="s">
        <v>1146</v>
      </c>
      <c r="B563" s="6">
        <v>45521</v>
      </c>
      <c r="C563" s="2">
        <v>46</v>
      </c>
      <c r="D563" s="2" t="s">
        <v>2028</v>
      </c>
      <c r="E563" s="2" t="s">
        <v>2030</v>
      </c>
    </row>
    <row r="564" spans="1:5" x14ac:dyDescent="0.2">
      <c r="A564" s="2" t="s">
        <v>1148</v>
      </c>
      <c r="B564" s="6">
        <v>45700</v>
      </c>
      <c r="C564" s="2">
        <v>22</v>
      </c>
      <c r="D564" s="2" t="s">
        <v>2028</v>
      </c>
      <c r="E564" s="2" t="s">
        <v>2026</v>
      </c>
    </row>
    <row r="565" spans="1:5" x14ac:dyDescent="0.2">
      <c r="A565" s="2" t="s">
        <v>1150</v>
      </c>
      <c r="B565" s="6">
        <v>45467</v>
      </c>
      <c r="C565" s="2">
        <v>55</v>
      </c>
      <c r="D565" s="2" t="s">
        <v>2025</v>
      </c>
      <c r="E565" s="2" t="s">
        <v>2026</v>
      </c>
    </row>
    <row r="566" spans="1:5" x14ac:dyDescent="0.2">
      <c r="A566" s="2" t="s">
        <v>1152</v>
      </c>
      <c r="B566" s="6">
        <v>45572</v>
      </c>
      <c r="C566" s="2">
        <v>28</v>
      </c>
      <c r="D566" s="2" t="s">
        <v>2025</v>
      </c>
      <c r="E566" s="2" t="s">
        <v>2026</v>
      </c>
    </row>
    <row r="567" spans="1:5" x14ac:dyDescent="0.2">
      <c r="A567" s="2" t="s">
        <v>1154</v>
      </c>
      <c r="B567" s="6">
        <v>45812</v>
      </c>
      <c r="C567" s="2">
        <v>44</v>
      </c>
      <c r="D567" s="2" t="s">
        <v>2029</v>
      </c>
      <c r="E567" s="2" t="s">
        <v>2026</v>
      </c>
    </row>
    <row r="568" spans="1:5" x14ac:dyDescent="0.2">
      <c r="A568" s="2" t="s">
        <v>1156</v>
      </c>
      <c r="B568" s="6">
        <v>45605</v>
      </c>
      <c r="C568" s="2">
        <v>53</v>
      </c>
      <c r="D568" s="2" t="s">
        <v>2025</v>
      </c>
      <c r="E568" s="2" t="s">
        <v>2027</v>
      </c>
    </row>
    <row r="569" spans="1:5" x14ac:dyDescent="0.2">
      <c r="A569" s="2" t="s">
        <v>1158</v>
      </c>
      <c r="B569" s="6">
        <v>45969</v>
      </c>
      <c r="C569" s="2">
        <v>55</v>
      </c>
      <c r="D569" s="2" t="s">
        <v>2025</v>
      </c>
      <c r="E569" s="2" t="s">
        <v>2027</v>
      </c>
    </row>
    <row r="570" spans="1:5" x14ac:dyDescent="0.2">
      <c r="A570" s="2" t="s">
        <v>1160</v>
      </c>
      <c r="B570" s="6">
        <v>45751</v>
      </c>
      <c r="C570" s="2">
        <v>24</v>
      </c>
      <c r="D570" s="2" t="s">
        <v>2028</v>
      </c>
      <c r="E570" s="2" t="s">
        <v>2027</v>
      </c>
    </row>
    <row r="571" spans="1:5" x14ac:dyDescent="0.2">
      <c r="A571" s="2" t="s">
        <v>1162</v>
      </c>
      <c r="B571" s="6">
        <v>45609</v>
      </c>
      <c r="C571" s="2">
        <v>31</v>
      </c>
      <c r="D571" s="2" t="s">
        <v>2025</v>
      </c>
      <c r="E571" s="2" t="s">
        <v>2027</v>
      </c>
    </row>
    <row r="572" spans="1:5" x14ac:dyDescent="0.2">
      <c r="A572" s="2" t="s">
        <v>1164</v>
      </c>
      <c r="B572" s="6">
        <v>45671</v>
      </c>
      <c r="C572" s="2">
        <v>20</v>
      </c>
      <c r="D572" s="2" t="s">
        <v>2028</v>
      </c>
      <c r="E572" s="2" t="s">
        <v>2026</v>
      </c>
    </row>
    <row r="573" spans="1:5" x14ac:dyDescent="0.2">
      <c r="A573" s="2" t="s">
        <v>1166</v>
      </c>
      <c r="B573" s="6">
        <v>45539</v>
      </c>
      <c r="C573" s="2">
        <v>35</v>
      </c>
      <c r="D573" s="2" t="s">
        <v>2028</v>
      </c>
      <c r="E573" s="2" t="s">
        <v>2027</v>
      </c>
    </row>
    <row r="574" spans="1:5" x14ac:dyDescent="0.2">
      <c r="A574" s="2" t="s">
        <v>1168</v>
      </c>
      <c r="B574" s="6">
        <v>45398</v>
      </c>
      <c r="C574" s="2">
        <v>36</v>
      </c>
      <c r="D574" s="2" t="s">
        <v>2028</v>
      </c>
      <c r="E574" s="2" t="s">
        <v>2027</v>
      </c>
    </row>
    <row r="575" spans="1:5" x14ac:dyDescent="0.2">
      <c r="A575" s="2" t="s">
        <v>1170</v>
      </c>
      <c r="B575" s="6">
        <v>45837</v>
      </c>
      <c r="C575" s="2">
        <v>40</v>
      </c>
      <c r="D575" s="2" t="s">
        <v>2028</v>
      </c>
      <c r="E575" s="2" t="s">
        <v>2027</v>
      </c>
    </row>
    <row r="576" spans="1:5" x14ac:dyDescent="0.2">
      <c r="A576" s="2" t="s">
        <v>1172</v>
      </c>
      <c r="B576" s="6">
        <v>45699</v>
      </c>
      <c r="C576" s="2">
        <v>51</v>
      </c>
      <c r="D576" s="2" t="s">
        <v>2025</v>
      </c>
      <c r="E576" s="2" t="s">
        <v>2027</v>
      </c>
    </row>
    <row r="577" spans="1:5" x14ac:dyDescent="0.2">
      <c r="A577" s="2" t="s">
        <v>1174</v>
      </c>
      <c r="B577" s="6">
        <v>45778</v>
      </c>
      <c r="C577" s="2">
        <v>55</v>
      </c>
      <c r="D577" s="2" t="s">
        <v>2028</v>
      </c>
      <c r="E577" s="2" t="s">
        <v>2027</v>
      </c>
    </row>
    <row r="578" spans="1:5" x14ac:dyDescent="0.2">
      <c r="A578" s="2" t="s">
        <v>1176</v>
      </c>
      <c r="B578" s="6">
        <v>45875</v>
      </c>
      <c r="C578" s="2">
        <v>45</v>
      </c>
      <c r="D578" s="2" t="s">
        <v>2025</v>
      </c>
      <c r="E578" s="2" t="s">
        <v>2027</v>
      </c>
    </row>
    <row r="579" spans="1:5" x14ac:dyDescent="0.2">
      <c r="A579" s="2" t="s">
        <v>1178</v>
      </c>
      <c r="B579" s="6">
        <v>45366</v>
      </c>
      <c r="C579" s="2">
        <v>27</v>
      </c>
      <c r="D579" s="2" t="s">
        <v>2028</v>
      </c>
      <c r="E579" s="2" t="s">
        <v>2027</v>
      </c>
    </row>
    <row r="580" spans="1:5" x14ac:dyDescent="0.2">
      <c r="A580" s="2" t="s">
        <v>1180</v>
      </c>
      <c r="B580" s="6">
        <v>45390</v>
      </c>
      <c r="C580" s="2">
        <v>23</v>
      </c>
      <c r="D580" s="2" t="s">
        <v>2028</v>
      </c>
      <c r="E580" s="2" t="s">
        <v>2027</v>
      </c>
    </row>
    <row r="581" spans="1:5" x14ac:dyDescent="0.2">
      <c r="A581" s="2" t="s">
        <v>1182</v>
      </c>
      <c r="B581" s="6">
        <v>45728</v>
      </c>
      <c r="C581" s="2">
        <v>48</v>
      </c>
      <c r="D581" s="2" t="s">
        <v>2028</v>
      </c>
      <c r="E581" s="2" t="s">
        <v>2027</v>
      </c>
    </row>
    <row r="582" spans="1:5" x14ac:dyDescent="0.2">
      <c r="A582" s="2" t="s">
        <v>1184</v>
      </c>
      <c r="B582" s="6">
        <v>45946</v>
      </c>
      <c r="C582" s="2">
        <v>48</v>
      </c>
      <c r="D582" s="2" t="s">
        <v>2025</v>
      </c>
      <c r="E582" s="2" t="s">
        <v>2027</v>
      </c>
    </row>
    <row r="583" spans="1:5" x14ac:dyDescent="0.2">
      <c r="A583" s="2" t="s">
        <v>1186</v>
      </c>
      <c r="B583" s="6">
        <v>45569</v>
      </c>
      <c r="C583" s="2">
        <v>31</v>
      </c>
      <c r="D583" s="2" t="s">
        <v>2025</v>
      </c>
      <c r="E583" s="2" t="s">
        <v>2026</v>
      </c>
    </row>
    <row r="584" spans="1:5" x14ac:dyDescent="0.2">
      <c r="A584" s="2" t="s">
        <v>1188</v>
      </c>
      <c r="B584" s="6">
        <v>45713</v>
      </c>
      <c r="C584" s="2">
        <v>37</v>
      </c>
      <c r="D584" s="2" t="s">
        <v>2028</v>
      </c>
      <c r="E584" s="2" t="s">
        <v>2026</v>
      </c>
    </row>
    <row r="585" spans="1:5" x14ac:dyDescent="0.2">
      <c r="A585" s="2" t="s">
        <v>1190</v>
      </c>
      <c r="B585" s="6">
        <v>45424</v>
      </c>
      <c r="C585" s="2">
        <v>51</v>
      </c>
      <c r="D585" s="2" t="s">
        <v>2028</v>
      </c>
      <c r="E585" s="2" t="s">
        <v>2026</v>
      </c>
    </row>
    <row r="586" spans="1:5" x14ac:dyDescent="0.2">
      <c r="A586" s="2" t="s">
        <v>1192</v>
      </c>
      <c r="B586" s="6">
        <v>45514</v>
      </c>
      <c r="C586" s="2">
        <v>38</v>
      </c>
      <c r="D586" s="2" t="s">
        <v>2025</v>
      </c>
      <c r="E586" s="2" t="s">
        <v>2027</v>
      </c>
    </row>
    <row r="587" spans="1:5" x14ac:dyDescent="0.2">
      <c r="A587" s="2" t="s">
        <v>1194</v>
      </c>
      <c r="B587" s="6">
        <v>45698</v>
      </c>
      <c r="C587" s="2">
        <v>21</v>
      </c>
      <c r="D587" s="2" t="s">
        <v>2028</v>
      </c>
      <c r="E587" s="2" t="s">
        <v>2027</v>
      </c>
    </row>
    <row r="588" spans="1:5" x14ac:dyDescent="0.2">
      <c r="A588" s="2" t="s">
        <v>1196</v>
      </c>
      <c r="B588" s="6">
        <v>45631</v>
      </c>
      <c r="C588" s="2">
        <v>44</v>
      </c>
      <c r="D588" s="2" t="s">
        <v>2028</v>
      </c>
      <c r="E588" s="2" t="s">
        <v>2027</v>
      </c>
    </row>
    <row r="589" spans="1:5" x14ac:dyDescent="0.2">
      <c r="A589" s="2" t="s">
        <v>1198</v>
      </c>
      <c r="B589" s="6">
        <v>45652</v>
      </c>
      <c r="C589" s="2">
        <v>49</v>
      </c>
      <c r="D589" s="2" t="s">
        <v>2025</v>
      </c>
      <c r="E589" s="2" t="s">
        <v>2030</v>
      </c>
    </row>
    <row r="590" spans="1:5" x14ac:dyDescent="0.2">
      <c r="A590" s="2" t="s">
        <v>1200</v>
      </c>
      <c r="B590" s="6">
        <v>45521</v>
      </c>
      <c r="C590" s="2">
        <v>28</v>
      </c>
      <c r="D590" s="2" t="s">
        <v>2028</v>
      </c>
      <c r="E590" s="2" t="s">
        <v>2027</v>
      </c>
    </row>
    <row r="591" spans="1:5" x14ac:dyDescent="0.2">
      <c r="A591" s="2" t="s">
        <v>1202</v>
      </c>
      <c r="B591" s="6">
        <v>45432</v>
      </c>
      <c r="C591" s="2">
        <v>43</v>
      </c>
      <c r="D591" s="2" t="s">
        <v>2025</v>
      </c>
      <c r="E591" s="2" t="s">
        <v>2027</v>
      </c>
    </row>
    <row r="592" spans="1:5" x14ac:dyDescent="0.2">
      <c r="A592" s="2" t="s">
        <v>1204</v>
      </c>
      <c r="B592" s="6">
        <v>45882</v>
      </c>
      <c r="C592" s="2">
        <v>52</v>
      </c>
      <c r="D592" s="2" t="s">
        <v>2025</v>
      </c>
      <c r="E592" s="2" t="s">
        <v>2030</v>
      </c>
    </row>
    <row r="593" spans="1:5" x14ac:dyDescent="0.2">
      <c r="A593" s="2" t="s">
        <v>1206</v>
      </c>
      <c r="B593" s="6">
        <v>45580</v>
      </c>
      <c r="C593" s="2">
        <v>48</v>
      </c>
      <c r="D593" s="2" t="s">
        <v>2028</v>
      </c>
      <c r="E593" s="2" t="s">
        <v>2027</v>
      </c>
    </row>
    <row r="594" spans="1:5" x14ac:dyDescent="0.2">
      <c r="A594" s="2" t="s">
        <v>1208</v>
      </c>
      <c r="B594" s="6">
        <v>45348</v>
      </c>
      <c r="C594" s="2">
        <v>24</v>
      </c>
      <c r="D594" s="2" t="s">
        <v>2025</v>
      </c>
      <c r="E594" s="2" t="s">
        <v>2026</v>
      </c>
    </row>
    <row r="595" spans="1:5" x14ac:dyDescent="0.2">
      <c r="A595" s="2" t="s">
        <v>1210</v>
      </c>
      <c r="B595" s="6">
        <v>45521</v>
      </c>
      <c r="C595" s="2">
        <v>33</v>
      </c>
      <c r="D595" s="2" t="s">
        <v>2025</v>
      </c>
      <c r="E595" s="2" t="s">
        <v>2027</v>
      </c>
    </row>
    <row r="596" spans="1:5" x14ac:dyDescent="0.2">
      <c r="A596" s="2" t="s">
        <v>1212</v>
      </c>
      <c r="B596" s="6">
        <v>45463</v>
      </c>
      <c r="C596" s="2">
        <v>25</v>
      </c>
      <c r="D596" s="2" t="s">
        <v>2028</v>
      </c>
      <c r="E596" s="2" t="s">
        <v>2027</v>
      </c>
    </row>
    <row r="597" spans="1:5" x14ac:dyDescent="0.2">
      <c r="A597" s="2" t="s">
        <v>1214</v>
      </c>
      <c r="B597" s="6">
        <v>45910</v>
      </c>
      <c r="C597" s="2">
        <v>40</v>
      </c>
      <c r="D597" s="2" t="s">
        <v>2028</v>
      </c>
      <c r="E597" s="2" t="s">
        <v>2027</v>
      </c>
    </row>
    <row r="598" spans="1:5" x14ac:dyDescent="0.2">
      <c r="A598" s="2" t="s">
        <v>1216</v>
      </c>
      <c r="B598" s="6">
        <v>45708</v>
      </c>
      <c r="C598" s="2">
        <v>46</v>
      </c>
      <c r="D598" s="2" t="s">
        <v>2025</v>
      </c>
      <c r="E598" s="2" t="s">
        <v>2027</v>
      </c>
    </row>
    <row r="599" spans="1:5" x14ac:dyDescent="0.2">
      <c r="A599" s="2" t="s">
        <v>1218</v>
      </c>
      <c r="B599" s="6">
        <v>45848</v>
      </c>
      <c r="C599" s="2">
        <v>43</v>
      </c>
      <c r="D599" s="2" t="s">
        <v>2025</v>
      </c>
      <c r="E599" s="2" t="s">
        <v>2027</v>
      </c>
    </row>
    <row r="600" spans="1:5" x14ac:dyDescent="0.2">
      <c r="A600" s="2" t="s">
        <v>1220</v>
      </c>
      <c r="B600" s="6">
        <v>45582</v>
      </c>
      <c r="C600" s="2">
        <v>55</v>
      </c>
      <c r="D600" s="2" t="s">
        <v>2029</v>
      </c>
      <c r="E600" s="2" t="s">
        <v>2026</v>
      </c>
    </row>
    <row r="601" spans="1:5" x14ac:dyDescent="0.2">
      <c r="A601" s="2" t="s">
        <v>1222</v>
      </c>
      <c r="B601" s="6">
        <v>45757</v>
      </c>
      <c r="C601" s="2">
        <v>27</v>
      </c>
      <c r="D601" s="2" t="s">
        <v>2025</v>
      </c>
      <c r="E601" s="2" t="s">
        <v>2027</v>
      </c>
    </row>
    <row r="602" spans="1:5" x14ac:dyDescent="0.2">
      <c r="A602" s="2" t="s">
        <v>1224</v>
      </c>
      <c r="B602" s="6">
        <v>45566</v>
      </c>
      <c r="C602" s="2">
        <v>41</v>
      </c>
      <c r="D602" s="2" t="s">
        <v>2025</v>
      </c>
      <c r="E602" s="2" t="s">
        <v>2027</v>
      </c>
    </row>
    <row r="603" spans="1:5" x14ac:dyDescent="0.2">
      <c r="A603" s="2" t="s">
        <v>1226</v>
      </c>
      <c r="B603" s="6">
        <v>45782</v>
      </c>
      <c r="C603" s="2">
        <v>48</v>
      </c>
      <c r="D603" s="2" t="s">
        <v>2028</v>
      </c>
      <c r="E603" s="2" t="s">
        <v>2027</v>
      </c>
    </row>
    <row r="604" spans="1:5" x14ac:dyDescent="0.2">
      <c r="A604" s="2" t="s">
        <v>1228</v>
      </c>
      <c r="B604" s="6">
        <v>45934</v>
      </c>
      <c r="C604" s="2">
        <v>31</v>
      </c>
      <c r="D604" s="2" t="s">
        <v>2025</v>
      </c>
      <c r="E604" s="2" t="s">
        <v>2026</v>
      </c>
    </row>
    <row r="605" spans="1:5" x14ac:dyDescent="0.2">
      <c r="A605" s="2" t="s">
        <v>1230</v>
      </c>
      <c r="B605" s="6">
        <v>45429</v>
      </c>
      <c r="C605" s="2">
        <v>20</v>
      </c>
      <c r="D605" s="2" t="s">
        <v>2025</v>
      </c>
      <c r="E605" s="2" t="s">
        <v>2027</v>
      </c>
    </row>
    <row r="606" spans="1:5" x14ac:dyDescent="0.2">
      <c r="A606" s="2" t="s">
        <v>1232</v>
      </c>
      <c r="B606" s="6">
        <v>45456</v>
      </c>
      <c r="C606" s="2">
        <v>40</v>
      </c>
      <c r="D606" s="2" t="s">
        <v>2025</v>
      </c>
      <c r="E606" s="2" t="s">
        <v>2030</v>
      </c>
    </row>
    <row r="607" spans="1:5" x14ac:dyDescent="0.2">
      <c r="A607" s="2" t="s">
        <v>1234</v>
      </c>
      <c r="B607" s="6">
        <v>45636</v>
      </c>
      <c r="C607" s="2">
        <v>20</v>
      </c>
      <c r="D607" s="2" t="s">
        <v>2028</v>
      </c>
      <c r="E607" s="2" t="s">
        <v>2027</v>
      </c>
    </row>
    <row r="608" spans="1:5" x14ac:dyDescent="0.2">
      <c r="A608" s="2" t="s">
        <v>1236</v>
      </c>
      <c r="B608" s="6">
        <v>45939</v>
      </c>
      <c r="C608" s="2">
        <v>39</v>
      </c>
      <c r="D608" s="2" t="s">
        <v>2029</v>
      </c>
      <c r="E608" s="2" t="s">
        <v>2027</v>
      </c>
    </row>
    <row r="609" spans="1:5" x14ac:dyDescent="0.2">
      <c r="A609" s="2" t="s">
        <v>1238</v>
      </c>
      <c r="B609" s="6">
        <v>45673</v>
      </c>
      <c r="C609" s="2">
        <v>47</v>
      </c>
      <c r="D609" s="2" t="s">
        <v>2028</v>
      </c>
      <c r="E609" s="2" t="s">
        <v>2027</v>
      </c>
    </row>
    <row r="610" spans="1:5" x14ac:dyDescent="0.2">
      <c r="A610" s="2" t="s">
        <v>1240</v>
      </c>
      <c r="B610" s="6">
        <v>45966</v>
      </c>
      <c r="C610" s="2">
        <v>19</v>
      </c>
      <c r="D610" s="2" t="s">
        <v>2025</v>
      </c>
      <c r="E610" s="2" t="s">
        <v>2027</v>
      </c>
    </row>
    <row r="611" spans="1:5" x14ac:dyDescent="0.2">
      <c r="A611" s="2" t="s">
        <v>1242</v>
      </c>
      <c r="B611" s="6">
        <v>45764</v>
      </c>
      <c r="C611" s="2">
        <v>19</v>
      </c>
      <c r="D611" s="2" t="s">
        <v>2025</v>
      </c>
      <c r="E611" s="2" t="s">
        <v>2030</v>
      </c>
    </row>
    <row r="612" spans="1:5" x14ac:dyDescent="0.2">
      <c r="A612" s="2" t="s">
        <v>1244</v>
      </c>
      <c r="B612" s="6">
        <v>45906</v>
      </c>
      <c r="C612" s="2">
        <v>42</v>
      </c>
      <c r="D612" s="2" t="s">
        <v>2025</v>
      </c>
      <c r="E612" s="2" t="s">
        <v>2027</v>
      </c>
    </row>
    <row r="613" spans="1:5" x14ac:dyDescent="0.2">
      <c r="A613" s="2" t="s">
        <v>1246</v>
      </c>
      <c r="B613" s="6">
        <v>45680</v>
      </c>
      <c r="C613" s="2">
        <v>42</v>
      </c>
      <c r="D613" s="2" t="s">
        <v>2025</v>
      </c>
      <c r="E613" s="2" t="s">
        <v>2027</v>
      </c>
    </row>
    <row r="614" spans="1:5" x14ac:dyDescent="0.2">
      <c r="A614" s="2" t="s">
        <v>1248</v>
      </c>
      <c r="B614" s="6">
        <v>45392</v>
      </c>
      <c r="C614" s="2">
        <v>47</v>
      </c>
      <c r="D614" s="2" t="s">
        <v>2025</v>
      </c>
      <c r="E614" s="2" t="s">
        <v>2026</v>
      </c>
    </row>
    <row r="615" spans="1:5" x14ac:dyDescent="0.2">
      <c r="A615" s="2" t="s">
        <v>1250</v>
      </c>
      <c r="B615" s="6">
        <v>45406</v>
      </c>
      <c r="C615" s="2">
        <v>43</v>
      </c>
      <c r="D615" s="2" t="s">
        <v>2028</v>
      </c>
      <c r="E615" s="2" t="s">
        <v>2027</v>
      </c>
    </row>
    <row r="616" spans="1:5" x14ac:dyDescent="0.2">
      <c r="A616" s="2" t="s">
        <v>1252</v>
      </c>
      <c r="B616" s="6">
        <v>45466</v>
      </c>
      <c r="C616" s="2">
        <v>35</v>
      </c>
      <c r="D616" s="2" t="s">
        <v>2025</v>
      </c>
      <c r="E616" s="2" t="s">
        <v>2027</v>
      </c>
    </row>
    <row r="617" spans="1:5" x14ac:dyDescent="0.2">
      <c r="A617" s="2" t="s">
        <v>1254</v>
      </c>
      <c r="B617" s="6">
        <v>45737</v>
      </c>
      <c r="C617" s="2">
        <v>35</v>
      </c>
      <c r="D617" s="2" t="s">
        <v>2028</v>
      </c>
      <c r="E617" s="2" t="s">
        <v>2027</v>
      </c>
    </row>
    <row r="618" spans="1:5" x14ac:dyDescent="0.2">
      <c r="A618" s="2" t="s">
        <v>1256</v>
      </c>
      <c r="B618" s="6">
        <v>45551</v>
      </c>
      <c r="C618" s="2">
        <v>43</v>
      </c>
      <c r="D618" s="2" t="s">
        <v>2029</v>
      </c>
      <c r="E618" s="2" t="s">
        <v>2027</v>
      </c>
    </row>
    <row r="619" spans="1:5" x14ac:dyDescent="0.2">
      <c r="A619" s="2" t="s">
        <v>1258</v>
      </c>
      <c r="B619" s="6">
        <v>45907</v>
      </c>
      <c r="C619" s="2">
        <v>34</v>
      </c>
      <c r="D619" s="2" t="s">
        <v>2025</v>
      </c>
      <c r="E619" s="2" t="s">
        <v>2030</v>
      </c>
    </row>
    <row r="620" spans="1:5" x14ac:dyDescent="0.2">
      <c r="A620" s="2" t="s">
        <v>1260</v>
      </c>
      <c r="B620" s="6">
        <v>45430</v>
      </c>
      <c r="C620" s="2">
        <v>49</v>
      </c>
      <c r="D620" s="2" t="s">
        <v>2028</v>
      </c>
      <c r="E620" s="2" t="s">
        <v>2026</v>
      </c>
    </row>
    <row r="621" spans="1:5" x14ac:dyDescent="0.2">
      <c r="A621" s="2" t="s">
        <v>1262</v>
      </c>
      <c r="B621" s="6">
        <v>45746</v>
      </c>
      <c r="C621" s="2">
        <v>21</v>
      </c>
      <c r="D621" s="2" t="s">
        <v>2025</v>
      </c>
      <c r="E621" s="2" t="s">
        <v>2030</v>
      </c>
    </row>
    <row r="622" spans="1:5" x14ac:dyDescent="0.2">
      <c r="A622" s="2" t="s">
        <v>1264</v>
      </c>
      <c r="B622" s="6">
        <v>45928</v>
      </c>
      <c r="C622" s="2">
        <v>18</v>
      </c>
      <c r="D622" s="2" t="s">
        <v>2028</v>
      </c>
      <c r="E622" s="2" t="s">
        <v>2027</v>
      </c>
    </row>
    <row r="623" spans="1:5" x14ac:dyDescent="0.2">
      <c r="A623" s="2" t="s">
        <v>1266</v>
      </c>
      <c r="B623" s="6">
        <v>45730</v>
      </c>
      <c r="C623" s="2">
        <v>55</v>
      </c>
      <c r="D623" s="2" t="s">
        <v>2025</v>
      </c>
      <c r="E623" s="2" t="s">
        <v>2027</v>
      </c>
    </row>
    <row r="624" spans="1:5" x14ac:dyDescent="0.2">
      <c r="A624" s="2" t="s">
        <v>1268</v>
      </c>
      <c r="B624" s="6">
        <v>45976</v>
      </c>
      <c r="C624" s="2">
        <v>47</v>
      </c>
      <c r="D624" s="2" t="s">
        <v>2025</v>
      </c>
      <c r="E624" s="2" t="s">
        <v>2026</v>
      </c>
    </row>
    <row r="625" spans="1:5" x14ac:dyDescent="0.2">
      <c r="A625" s="2" t="s">
        <v>1270</v>
      </c>
      <c r="B625" s="6">
        <v>45714</v>
      </c>
      <c r="C625" s="2">
        <v>46</v>
      </c>
      <c r="D625" s="2" t="s">
        <v>2025</v>
      </c>
      <c r="E625" s="2" t="s">
        <v>2027</v>
      </c>
    </row>
    <row r="626" spans="1:5" x14ac:dyDescent="0.2">
      <c r="A626" s="2" t="s">
        <v>1272</v>
      </c>
      <c r="B626" s="6">
        <v>45795</v>
      </c>
      <c r="C626" s="2">
        <v>35</v>
      </c>
      <c r="D626" s="2" t="s">
        <v>2025</v>
      </c>
      <c r="E626" s="2" t="s">
        <v>2027</v>
      </c>
    </row>
    <row r="627" spans="1:5" x14ac:dyDescent="0.2">
      <c r="A627" s="2" t="s">
        <v>1274</v>
      </c>
      <c r="B627" s="6">
        <v>45769</v>
      </c>
      <c r="C627" s="2">
        <v>35</v>
      </c>
      <c r="D627" s="2" t="s">
        <v>2028</v>
      </c>
      <c r="E627" s="2" t="s">
        <v>2026</v>
      </c>
    </row>
    <row r="628" spans="1:5" x14ac:dyDescent="0.2">
      <c r="A628" s="2" t="s">
        <v>1276</v>
      </c>
      <c r="B628" s="6">
        <v>45393</v>
      </c>
      <c r="C628" s="2">
        <v>39</v>
      </c>
      <c r="D628" s="2" t="s">
        <v>2028</v>
      </c>
      <c r="E628" s="2" t="s">
        <v>2027</v>
      </c>
    </row>
    <row r="629" spans="1:5" x14ac:dyDescent="0.2">
      <c r="A629" s="2" t="s">
        <v>1278</v>
      </c>
      <c r="B629" s="6">
        <v>45375</v>
      </c>
      <c r="C629" s="2">
        <v>20</v>
      </c>
      <c r="D629" s="2" t="s">
        <v>2028</v>
      </c>
      <c r="E629" s="2" t="s">
        <v>2030</v>
      </c>
    </row>
    <row r="630" spans="1:5" x14ac:dyDescent="0.2">
      <c r="A630" s="2" t="s">
        <v>1280</v>
      </c>
      <c r="B630" s="6">
        <v>45533</v>
      </c>
      <c r="C630" s="2">
        <v>33</v>
      </c>
      <c r="D630" s="2" t="s">
        <v>2028</v>
      </c>
      <c r="E630" s="2" t="s">
        <v>2027</v>
      </c>
    </row>
    <row r="631" spans="1:5" x14ac:dyDescent="0.2">
      <c r="A631" s="2" t="s">
        <v>1282</v>
      </c>
      <c r="B631" s="6">
        <v>45480</v>
      </c>
      <c r="C631" s="2">
        <v>44</v>
      </c>
      <c r="D631" s="2" t="s">
        <v>2025</v>
      </c>
      <c r="E631" s="2" t="s">
        <v>2030</v>
      </c>
    </row>
    <row r="632" spans="1:5" x14ac:dyDescent="0.2">
      <c r="A632" s="2" t="s">
        <v>1284</v>
      </c>
      <c r="B632" s="6">
        <v>45378</v>
      </c>
      <c r="C632" s="2">
        <v>41</v>
      </c>
      <c r="D632" s="2" t="s">
        <v>2028</v>
      </c>
      <c r="E632" s="2" t="s">
        <v>2027</v>
      </c>
    </row>
    <row r="633" spans="1:5" x14ac:dyDescent="0.2">
      <c r="A633" s="2" t="s">
        <v>1286</v>
      </c>
      <c r="B633" s="6">
        <v>45731</v>
      </c>
      <c r="C633" s="2">
        <v>19</v>
      </c>
      <c r="D633" s="2" t="s">
        <v>2025</v>
      </c>
      <c r="E633" s="2" t="s">
        <v>2030</v>
      </c>
    </row>
    <row r="634" spans="1:5" x14ac:dyDescent="0.2">
      <c r="A634" s="2" t="s">
        <v>1288</v>
      </c>
      <c r="B634" s="6">
        <v>45667</v>
      </c>
      <c r="C634" s="2">
        <v>24</v>
      </c>
      <c r="D634" s="2" t="s">
        <v>2025</v>
      </c>
      <c r="E634" s="2" t="s">
        <v>2027</v>
      </c>
    </row>
    <row r="635" spans="1:5" x14ac:dyDescent="0.2">
      <c r="A635" s="2" t="s">
        <v>1290</v>
      </c>
      <c r="B635" s="6">
        <v>45399</v>
      </c>
      <c r="C635" s="2">
        <v>43</v>
      </c>
      <c r="D635" s="2" t="s">
        <v>2028</v>
      </c>
      <c r="E635" s="2" t="s">
        <v>2030</v>
      </c>
    </row>
    <row r="636" spans="1:5" x14ac:dyDescent="0.2">
      <c r="A636" s="2" t="s">
        <v>1292</v>
      </c>
      <c r="B636" s="6">
        <v>45884</v>
      </c>
      <c r="C636" s="2">
        <v>19</v>
      </c>
      <c r="D636" s="2" t="s">
        <v>2025</v>
      </c>
      <c r="E636" s="2" t="s">
        <v>2030</v>
      </c>
    </row>
    <row r="637" spans="1:5" x14ac:dyDescent="0.2">
      <c r="A637" s="2" t="s">
        <v>1294</v>
      </c>
      <c r="B637" s="6">
        <v>45675</v>
      </c>
      <c r="C637" s="2">
        <v>37</v>
      </c>
      <c r="D637" s="2" t="s">
        <v>2028</v>
      </c>
      <c r="E637" s="2" t="s">
        <v>2026</v>
      </c>
    </row>
    <row r="638" spans="1:5" x14ac:dyDescent="0.2">
      <c r="A638" s="2" t="s">
        <v>1296</v>
      </c>
      <c r="B638" s="6">
        <v>45978</v>
      </c>
      <c r="C638" s="2">
        <v>34</v>
      </c>
      <c r="D638" s="2" t="s">
        <v>2028</v>
      </c>
      <c r="E638" s="2" t="s">
        <v>2026</v>
      </c>
    </row>
    <row r="639" spans="1:5" x14ac:dyDescent="0.2">
      <c r="A639" s="2" t="s">
        <v>1298</v>
      </c>
      <c r="B639" s="6">
        <v>45649</v>
      </c>
      <c r="C639" s="2">
        <v>39</v>
      </c>
      <c r="D639" s="2" t="s">
        <v>2028</v>
      </c>
      <c r="E639" s="2" t="s">
        <v>2027</v>
      </c>
    </row>
    <row r="640" spans="1:5" x14ac:dyDescent="0.2">
      <c r="A640" s="2" t="s">
        <v>1300</v>
      </c>
      <c r="B640" s="6">
        <v>45826</v>
      </c>
      <c r="C640" s="2">
        <v>26</v>
      </c>
      <c r="D640" s="2" t="s">
        <v>2025</v>
      </c>
      <c r="E640" s="2" t="s">
        <v>2027</v>
      </c>
    </row>
    <row r="641" spans="1:5" x14ac:dyDescent="0.2">
      <c r="A641" s="2" t="s">
        <v>1302</v>
      </c>
      <c r="B641" s="6">
        <v>45930</v>
      </c>
      <c r="C641" s="2">
        <v>36</v>
      </c>
      <c r="D641" s="2" t="s">
        <v>2028</v>
      </c>
      <c r="E641" s="2" t="s">
        <v>2026</v>
      </c>
    </row>
    <row r="642" spans="1:5" x14ac:dyDescent="0.2">
      <c r="A642" s="2" t="s">
        <v>1304</v>
      </c>
      <c r="B642" s="6">
        <v>45725</v>
      </c>
      <c r="C642" s="2">
        <v>26</v>
      </c>
      <c r="D642" s="2" t="s">
        <v>2028</v>
      </c>
      <c r="E642" s="2" t="s">
        <v>2027</v>
      </c>
    </row>
    <row r="643" spans="1:5" x14ac:dyDescent="0.2">
      <c r="A643" s="2" t="s">
        <v>1306</v>
      </c>
      <c r="B643" s="6">
        <v>45551</v>
      </c>
      <c r="C643" s="2">
        <v>23</v>
      </c>
      <c r="D643" s="2" t="s">
        <v>2028</v>
      </c>
      <c r="E643" s="2" t="s">
        <v>2027</v>
      </c>
    </row>
    <row r="644" spans="1:5" x14ac:dyDescent="0.2">
      <c r="A644" s="2" t="s">
        <v>1308</v>
      </c>
      <c r="B644" s="6">
        <v>45447</v>
      </c>
      <c r="C644" s="2">
        <v>45</v>
      </c>
      <c r="D644" s="2" t="s">
        <v>2025</v>
      </c>
      <c r="E644" s="2" t="s">
        <v>2027</v>
      </c>
    </row>
    <row r="645" spans="1:5" x14ac:dyDescent="0.2">
      <c r="A645" s="2" t="s">
        <v>1310</v>
      </c>
      <c r="B645" s="6">
        <v>45822</v>
      </c>
      <c r="C645" s="2">
        <v>36</v>
      </c>
      <c r="D645" s="2" t="s">
        <v>2025</v>
      </c>
      <c r="E645" s="2" t="s">
        <v>2026</v>
      </c>
    </row>
    <row r="646" spans="1:5" x14ac:dyDescent="0.2">
      <c r="A646" s="2" t="s">
        <v>1312</v>
      </c>
      <c r="B646" s="6">
        <v>45863</v>
      </c>
      <c r="C646" s="2">
        <v>37</v>
      </c>
      <c r="D646" s="2" t="s">
        <v>2025</v>
      </c>
      <c r="E646" s="2" t="s">
        <v>2026</v>
      </c>
    </row>
    <row r="647" spans="1:5" x14ac:dyDescent="0.2">
      <c r="A647" s="2" t="s">
        <v>1314</v>
      </c>
      <c r="B647" s="6">
        <v>45667</v>
      </c>
      <c r="C647" s="2">
        <v>19</v>
      </c>
      <c r="D647" s="2" t="s">
        <v>2028</v>
      </c>
      <c r="E647" s="2" t="s">
        <v>2026</v>
      </c>
    </row>
    <row r="648" spans="1:5" x14ac:dyDescent="0.2">
      <c r="A648" s="2" t="s">
        <v>1316</v>
      </c>
      <c r="B648" s="6">
        <v>45888</v>
      </c>
      <c r="C648" s="2">
        <v>23</v>
      </c>
      <c r="D648" s="2" t="s">
        <v>2025</v>
      </c>
      <c r="E648" s="2" t="s">
        <v>2026</v>
      </c>
    </row>
    <row r="649" spans="1:5" x14ac:dyDescent="0.2">
      <c r="A649" s="2" t="s">
        <v>1318</v>
      </c>
      <c r="B649" s="6">
        <v>45666</v>
      </c>
      <c r="C649" s="2">
        <v>37</v>
      </c>
      <c r="D649" s="2" t="s">
        <v>2025</v>
      </c>
      <c r="E649" s="2" t="s">
        <v>2030</v>
      </c>
    </row>
    <row r="650" spans="1:5" x14ac:dyDescent="0.2">
      <c r="A650" s="2" t="s">
        <v>1320</v>
      </c>
      <c r="B650" s="6">
        <v>45782</v>
      </c>
      <c r="C650" s="2">
        <v>20</v>
      </c>
      <c r="D650" s="2" t="s">
        <v>2028</v>
      </c>
      <c r="E650" s="2" t="s">
        <v>2026</v>
      </c>
    </row>
    <row r="651" spans="1:5" x14ac:dyDescent="0.2">
      <c r="A651" s="2" t="s">
        <v>1322</v>
      </c>
      <c r="B651" s="6">
        <v>45900</v>
      </c>
      <c r="C651" s="2">
        <v>29</v>
      </c>
      <c r="D651" s="2" t="s">
        <v>2025</v>
      </c>
      <c r="E651" s="2" t="s">
        <v>2027</v>
      </c>
    </row>
    <row r="652" spans="1:5" x14ac:dyDescent="0.2">
      <c r="A652" s="2" t="s">
        <v>1324</v>
      </c>
      <c r="B652" s="6">
        <v>45372</v>
      </c>
      <c r="C652" s="2">
        <v>29</v>
      </c>
      <c r="D652" s="2" t="s">
        <v>2028</v>
      </c>
      <c r="E652" s="2" t="s">
        <v>2026</v>
      </c>
    </row>
    <row r="653" spans="1:5" x14ac:dyDescent="0.2">
      <c r="A653" s="2" t="s">
        <v>1326</v>
      </c>
      <c r="B653" s="6">
        <v>45758</v>
      </c>
      <c r="C653" s="2">
        <v>52</v>
      </c>
      <c r="D653" s="2" t="s">
        <v>2025</v>
      </c>
      <c r="E653" s="2" t="s">
        <v>2027</v>
      </c>
    </row>
    <row r="654" spans="1:5" x14ac:dyDescent="0.2">
      <c r="A654" s="2" t="s">
        <v>1328</v>
      </c>
      <c r="B654" s="6">
        <v>45993</v>
      </c>
      <c r="C654" s="2">
        <v>44</v>
      </c>
      <c r="D654" s="2" t="s">
        <v>2025</v>
      </c>
      <c r="E654" s="2" t="s">
        <v>2027</v>
      </c>
    </row>
    <row r="655" spans="1:5" x14ac:dyDescent="0.2">
      <c r="A655" s="2" t="s">
        <v>1330</v>
      </c>
      <c r="B655" s="6">
        <v>45450</v>
      </c>
      <c r="C655" s="2">
        <v>28</v>
      </c>
      <c r="D655" s="2" t="s">
        <v>2028</v>
      </c>
      <c r="E655" s="2" t="s">
        <v>2027</v>
      </c>
    </row>
    <row r="656" spans="1:5" x14ac:dyDescent="0.2">
      <c r="A656" s="2" t="s">
        <v>1332</v>
      </c>
      <c r="B656" s="6">
        <v>45735</v>
      </c>
      <c r="C656" s="2">
        <v>27</v>
      </c>
      <c r="D656" s="2" t="s">
        <v>2025</v>
      </c>
      <c r="E656" s="2" t="s">
        <v>2027</v>
      </c>
    </row>
    <row r="657" spans="1:5" x14ac:dyDescent="0.2">
      <c r="A657" s="2" t="s">
        <v>1335</v>
      </c>
      <c r="B657" s="6">
        <v>45824</v>
      </c>
      <c r="C657" s="2">
        <v>52</v>
      </c>
      <c r="D657" s="2" t="s">
        <v>2028</v>
      </c>
      <c r="E657" s="2" t="s">
        <v>2030</v>
      </c>
    </row>
    <row r="658" spans="1:5" x14ac:dyDescent="0.2">
      <c r="A658" s="2" t="s">
        <v>1337</v>
      </c>
      <c r="B658" s="6">
        <v>45695</v>
      </c>
      <c r="C658" s="2">
        <v>38</v>
      </c>
      <c r="D658" s="2" t="s">
        <v>2028</v>
      </c>
      <c r="E658" s="2" t="s">
        <v>2030</v>
      </c>
    </row>
    <row r="659" spans="1:5" x14ac:dyDescent="0.2">
      <c r="A659" s="2" t="s">
        <v>1339</v>
      </c>
      <c r="B659" s="6">
        <v>45723</v>
      </c>
      <c r="C659" s="2">
        <v>38</v>
      </c>
      <c r="D659" s="2" t="s">
        <v>2025</v>
      </c>
      <c r="E659" s="2" t="s">
        <v>2027</v>
      </c>
    </row>
    <row r="660" spans="1:5" x14ac:dyDescent="0.2">
      <c r="A660" s="2" t="s">
        <v>1341</v>
      </c>
      <c r="B660" s="6">
        <v>45879</v>
      </c>
      <c r="C660" s="2">
        <v>30</v>
      </c>
      <c r="D660" s="2" t="s">
        <v>2028</v>
      </c>
      <c r="E660" s="2" t="s">
        <v>2026</v>
      </c>
    </row>
    <row r="661" spans="1:5" x14ac:dyDescent="0.2">
      <c r="A661" s="2" t="s">
        <v>1343</v>
      </c>
      <c r="B661" s="6">
        <v>45572</v>
      </c>
      <c r="C661" s="2">
        <v>43</v>
      </c>
      <c r="D661" s="2" t="s">
        <v>2025</v>
      </c>
      <c r="E661" s="2" t="s">
        <v>2027</v>
      </c>
    </row>
    <row r="662" spans="1:5" x14ac:dyDescent="0.2">
      <c r="A662" s="2" t="s">
        <v>1345</v>
      </c>
      <c r="B662" s="6">
        <v>45969</v>
      </c>
      <c r="C662" s="2">
        <v>26</v>
      </c>
      <c r="D662" s="2" t="s">
        <v>2028</v>
      </c>
      <c r="E662" s="2" t="s">
        <v>2027</v>
      </c>
    </row>
    <row r="663" spans="1:5" x14ac:dyDescent="0.2">
      <c r="A663" s="2" t="s">
        <v>1347</v>
      </c>
      <c r="B663" s="6">
        <v>45617</v>
      </c>
      <c r="C663" s="2">
        <v>40</v>
      </c>
      <c r="D663" s="2" t="s">
        <v>2029</v>
      </c>
      <c r="E663" s="2" t="s">
        <v>2027</v>
      </c>
    </row>
    <row r="664" spans="1:5" x14ac:dyDescent="0.2">
      <c r="A664" s="2" t="s">
        <v>1349</v>
      </c>
      <c r="B664" s="6">
        <v>45943</v>
      </c>
      <c r="C664" s="2">
        <v>34</v>
      </c>
      <c r="D664" s="2" t="s">
        <v>2028</v>
      </c>
      <c r="E664" s="2" t="s">
        <v>2030</v>
      </c>
    </row>
    <row r="665" spans="1:5" x14ac:dyDescent="0.2">
      <c r="A665" s="2" t="s">
        <v>1351</v>
      </c>
      <c r="B665" s="6">
        <v>45599</v>
      </c>
      <c r="C665" s="2">
        <v>43</v>
      </c>
      <c r="D665" s="2" t="s">
        <v>2028</v>
      </c>
      <c r="E665" s="2" t="s">
        <v>2027</v>
      </c>
    </row>
    <row r="666" spans="1:5" x14ac:dyDescent="0.2">
      <c r="A666" s="2" t="s">
        <v>1353</v>
      </c>
      <c r="B666" s="6">
        <v>45372</v>
      </c>
      <c r="C666" s="2">
        <v>31</v>
      </c>
      <c r="D666" s="2" t="s">
        <v>2028</v>
      </c>
      <c r="E666" s="2" t="s">
        <v>2027</v>
      </c>
    </row>
    <row r="667" spans="1:5" x14ac:dyDescent="0.2">
      <c r="A667" s="2" t="s">
        <v>1355</v>
      </c>
      <c r="B667" s="6">
        <v>45967</v>
      </c>
      <c r="C667" s="2">
        <v>35</v>
      </c>
      <c r="D667" s="2" t="s">
        <v>2025</v>
      </c>
      <c r="E667" s="2" t="s">
        <v>2027</v>
      </c>
    </row>
    <row r="668" spans="1:5" x14ac:dyDescent="0.2">
      <c r="A668" s="2" t="s">
        <v>1357</v>
      </c>
      <c r="B668" s="6">
        <v>45862</v>
      </c>
      <c r="C668" s="2">
        <v>23</v>
      </c>
      <c r="D668" s="2" t="s">
        <v>2025</v>
      </c>
      <c r="E668" s="2" t="s">
        <v>2027</v>
      </c>
    </row>
    <row r="669" spans="1:5" x14ac:dyDescent="0.2">
      <c r="A669" s="2" t="s">
        <v>1359</v>
      </c>
      <c r="B669" s="6">
        <v>45466</v>
      </c>
      <c r="C669" s="2">
        <v>28</v>
      </c>
      <c r="D669" s="2" t="s">
        <v>2028</v>
      </c>
      <c r="E669" s="2" t="s">
        <v>2027</v>
      </c>
    </row>
    <row r="670" spans="1:5" x14ac:dyDescent="0.2">
      <c r="A670" s="2" t="s">
        <v>1361</v>
      </c>
      <c r="B670" s="6">
        <v>45548</v>
      </c>
      <c r="C670" s="2">
        <v>54</v>
      </c>
      <c r="D670" s="2" t="s">
        <v>2028</v>
      </c>
      <c r="E670" s="2" t="s">
        <v>2027</v>
      </c>
    </row>
    <row r="671" spans="1:5" x14ac:dyDescent="0.2">
      <c r="A671" s="2" t="s">
        <v>1363</v>
      </c>
      <c r="B671" s="6">
        <v>45428</v>
      </c>
      <c r="C671" s="2">
        <v>43</v>
      </c>
      <c r="D671" s="2" t="s">
        <v>2028</v>
      </c>
      <c r="E671" s="2" t="s">
        <v>2030</v>
      </c>
    </row>
    <row r="672" spans="1:5" x14ac:dyDescent="0.2">
      <c r="A672" s="2" t="s">
        <v>1365</v>
      </c>
      <c r="B672" s="6">
        <v>45838</v>
      </c>
      <c r="C672" s="2">
        <v>47</v>
      </c>
      <c r="D672" s="2" t="s">
        <v>2025</v>
      </c>
      <c r="E672" s="2" t="s">
        <v>2027</v>
      </c>
    </row>
    <row r="673" spans="1:5" x14ac:dyDescent="0.2">
      <c r="A673" s="2" t="s">
        <v>1367</v>
      </c>
      <c r="B673" s="6">
        <v>45924</v>
      </c>
      <c r="C673" s="2">
        <v>35</v>
      </c>
      <c r="D673" s="2" t="s">
        <v>2025</v>
      </c>
      <c r="E673" s="2" t="s">
        <v>2026</v>
      </c>
    </row>
    <row r="674" spans="1:5" x14ac:dyDescent="0.2">
      <c r="A674" s="2" t="s">
        <v>1369</v>
      </c>
      <c r="B674" s="6">
        <v>45560</v>
      </c>
      <c r="C674" s="2">
        <v>24</v>
      </c>
      <c r="D674" s="2" t="s">
        <v>2028</v>
      </c>
      <c r="E674" s="2" t="s">
        <v>2027</v>
      </c>
    </row>
    <row r="675" spans="1:5" x14ac:dyDescent="0.2">
      <c r="A675" s="2" t="s">
        <v>1371</v>
      </c>
      <c r="B675" s="6">
        <v>45420</v>
      </c>
      <c r="C675" s="2">
        <v>26</v>
      </c>
      <c r="D675" s="2" t="s">
        <v>2028</v>
      </c>
      <c r="E675" s="2" t="s">
        <v>2027</v>
      </c>
    </row>
    <row r="676" spans="1:5" x14ac:dyDescent="0.2">
      <c r="A676" s="2" t="s">
        <v>1373</v>
      </c>
      <c r="B676" s="6">
        <v>45420</v>
      </c>
      <c r="C676" s="2">
        <v>44</v>
      </c>
      <c r="D676" s="2" t="s">
        <v>2028</v>
      </c>
      <c r="E676" s="2" t="s">
        <v>2027</v>
      </c>
    </row>
    <row r="677" spans="1:5" x14ac:dyDescent="0.2">
      <c r="A677" s="2" t="s">
        <v>1375</v>
      </c>
      <c r="B677" s="6">
        <v>45785</v>
      </c>
      <c r="C677" s="2">
        <v>54</v>
      </c>
      <c r="D677" s="2" t="s">
        <v>2028</v>
      </c>
      <c r="E677" s="2" t="s">
        <v>2026</v>
      </c>
    </row>
    <row r="678" spans="1:5" x14ac:dyDescent="0.2">
      <c r="A678" s="2" t="s">
        <v>1377</v>
      </c>
      <c r="B678" s="6">
        <v>45355</v>
      </c>
      <c r="C678" s="2">
        <v>47</v>
      </c>
      <c r="D678" s="2" t="s">
        <v>2025</v>
      </c>
      <c r="E678" s="2" t="s">
        <v>2027</v>
      </c>
    </row>
    <row r="679" spans="1:5" x14ac:dyDescent="0.2">
      <c r="A679" s="2" t="s">
        <v>1379</v>
      </c>
      <c r="B679" s="6">
        <v>45933</v>
      </c>
      <c r="C679" s="2">
        <v>22</v>
      </c>
      <c r="D679" s="2" t="s">
        <v>2028</v>
      </c>
      <c r="E679" s="2" t="s">
        <v>2027</v>
      </c>
    </row>
    <row r="680" spans="1:5" x14ac:dyDescent="0.2">
      <c r="A680" s="2" t="s">
        <v>1381</v>
      </c>
      <c r="B680" s="6">
        <v>45639</v>
      </c>
      <c r="C680" s="2">
        <v>36</v>
      </c>
      <c r="D680" s="2" t="s">
        <v>2025</v>
      </c>
      <c r="E680" s="2" t="s">
        <v>2030</v>
      </c>
    </row>
    <row r="681" spans="1:5" x14ac:dyDescent="0.2">
      <c r="A681" s="2" t="s">
        <v>1383</v>
      </c>
      <c r="B681" s="6">
        <v>45945</v>
      </c>
      <c r="C681" s="2">
        <v>22</v>
      </c>
      <c r="D681" s="2" t="s">
        <v>2025</v>
      </c>
      <c r="E681" s="2" t="s">
        <v>2027</v>
      </c>
    </row>
    <row r="682" spans="1:5" x14ac:dyDescent="0.2">
      <c r="A682" s="2" t="s">
        <v>1385</v>
      </c>
      <c r="B682" s="6">
        <v>45612</v>
      </c>
      <c r="C682" s="2">
        <v>55</v>
      </c>
      <c r="D682" s="2" t="s">
        <v>2025</v>
      </c>
      <c r="E682" s="2" t="s">
        <v>2026</v>
      </c>
    </row>
    <row r="683" spans="1:5" x14ac:dyDescent="0.2">
      <c r="A683" s="2" t="s">
        <v>1387</v>
      </c>
      <c r="B683" s="6">
        <v>45353</v>
      </c>
      <c r="C683" s="2">
        <v>23</v>
      </c>
      <c r="D683" s="2" t="s">
        <v>2028</v>
      </c>
      <c r="E683" s="2" t="s">
        <v>2027</v>
      </c>
    </row>
    <row r="684" spans="1:5" x14ac:dyDescent="0.2">
      <c r="A684" s="2" t="s">
        <v>1389</v>
      </c>
      <c r="B684" s="6">
        <v>45966</v>
      </c>
      <c r="C684" s="2">
        <v>27</v>
      </c>
      <c r="D684" s="2" t="s">
        <v>2025</v>
      </c>
      <c r="E684" s="2" t="s">
        <v>2027</v>
      </c>
    </row>
    <row r="685" spans="1:5" x14ac:dyDescent="0.2">
      <c r="A685" s="2" t="s">
        <v>1391</v>
      </c>
      <c r="B685" s="6">
        <v>45388</v>
      </c>
      <c r="C685" s="2">
        <v>20</v>
      </c>
      <c r="D685" s="2" t="s">
        <v>2025</v>
      </c>
      <c r="E685" s="2" t="s">
        <v>2027</v>
      </c>
    </row>
    <row r="686" spans="1:5" x14ac:dyDescent="0.2">
      <c r="A686" s="2" t="s">
        <v>1393</v>
      </c>
      <c r="B686" s="6">
        <v>45383</v>
      </c>
      <c r="C686" s="2">
        <v>23</v>
      </c>
      <c r="D686" s="2" t="s">
        <v>2028</v>
      </c>
      <c r="E686" s="2" t="s">
        <v>2027</v>
      </c>
    </row>
    <row r="687" spans="1:5" x14ac:dyDescent="0.2">
      <c r="A687" s="2" t="s">
        <v>1395</v>
      </c>
      <c r="B687" s="6">
        <v>45956</v>
      </c>
      <c r="C687" s="2">
        <v>37</v>
      </c>
      <c r="D687" s="2" t="s">
        <v>2028</v>
      </c>
      <c r="E687" s="2" t="s">
        <v>2026</v>
      </c>
    </row>
    <row r="688" spans="1:5" x14ac:dyDescent="0.2">
      <c r="A688" s="2" t="s">
        <v>1397</v>
      </c>
      <c r="B688" s="6">
        <v>45788</v>
      </c>
      <c r="C688" s="2">
        <v>28</v>
      </c>
      <c r="D688" s="2" t="s">
        <v>2028</v>
      </c>
      <c r="E688" s="2" t="s">
        <v>2027</v>
      </c>
    </row>
    <row r="689" spans="1:5" x14ac:dyDescent="0.2">
      <c r="A689" s="2" t="s">
        <v>1399</v>
      </c>
      <c r="B689" s="6">
        <v>45882</v>
      </c>
      <c r="C689" s="2">
        <v>25</v>
      </c>
      <c r="D689" s="2" t="s">
        <v>2028</v>
      </c>
      <c r="E689" s="2" t="s">
        <v>2030</v>
      </c>
    </row>
    <row r="690" spans="1:5" x14ac:dyDescent="0.2">
      <c r="A690" s="2" t="s">
        <v>1401</v>
      </c>
      <c r="B690" s="6">
        <v>45454</v>
      </c>
      <c r="C690" s="2">
        <v>51</v>
      </c>
      <c r="D690" s="2" t="s">
        <v>2028</v>
      </c>
      <c r="E690" s="2" t="s">
        <v>2027</v>
      </c>
    </row>
    <row r="691" spans="1:5" x14ac:dyDescent="0.2">
      <c r="A691" s="2" t="s">
        <v>1403</v>
      </c>
      <c r="B691" s="6">
        <v>45435</v>
      </c>
      <c r="C691" s="2">
        <v>36</v>
      </c>
      <c r="D691" s="2" t="s">
        <v>2028</v>
      </c>
      <c r="E691" s="2" t="s">
        <v>2026</v>
      </c>
    </row>
    <row r="692" spans="1:5" x14ac:dyDescent="0.2">
      <c r="A692" s="2" t="s">
        <v>1405</v>
      </c>
      <c r="B692" s="6">
        <v>45959</v>
      </c>
      <c r="C692" s="2">
        <v>44</v>
      </c>
      <c r="D692" s="2" t="s">
        <v>2028</v>
      </c>
      <c r="E692" s="2" t="s">
        <v>2027</v>
      </c>
    </row>
    <row r="693" spans="1:5" x14ac:dyDescent="0.2">
      <c r="A693" s="2" t="s">
        <v>1407</v>
      </c>
      <c r="B693" s="6">
        <v>45560</v>
      </c>
      <c r="C693" s="2">
        <v>37</v>
      </c>
      <c r="D693" s="2" t="s">
        <v>2025</v>
      </c>
      <c r="E693" s="2" t="s">
        <v>2027</v>
      </c>
    </row>
    <row r="694" spans="1:5" x14ac:dyDescent="0.2">
      <c r="A694" s="2" t="s">
        <v>1409</v>
      </c>
      <c r="B694" s="6">
        <v>45919</v>
      </c>
      <c r="C694" s="2">
        <v>52</v>
      </c>
      <c r="D694" s="2" t="s">
        <v>2028</v>
      </c>
      <c r="E694" s="2" t="s">
        <v>2027</v>
      </c>
    </row>
    <row r="695" spans="1:5" x14ac:dyDescent="0.2">
      <c r="A695" s="2" t="s">
        <v>1411</v>
      </c>
      <c r="B695" s="6">
        <v>45678</v>
      </c>
      <c r="C695" s="2">
        <v>20</v>
      </c>
      <c r="D695" s="2" t="s">
        <v>2025</v>
      </c>
      <c r="E695" s="2" t="s">
        <v>2030</v>
      </c>
    </row>
    <row r="696" spans="1:5" x14ac:dyDescent="0.2">
      <c r="A696" s="2" t="s">
        <v>1413</v>
      </c>
      <c r="B696" s="6">
        <v>45505</v>
      </c>
      <c r="C696" s="2">
        <v>39</v>
      </c>
      <c r="D696" s="2" t="s">
        <v>2028</v>
      </c>
      <c r="E696" s="2" t="s">
        <v>2027</v>
      </c>
    </row>
    <row r="697" spans="1:5" x14ac:dyDescent="0.2">
      <c r="A697" s="2" t="s">
        <v>1415</v>
      </c>
      <c r="B697" s="6">
        <v>45985</v>
      </c>
      <c r="C697" s="2">
        <v>25</v>
      </c>
      <c r="D697" s="2" t="s">
        <v>2025</v>
      </c>
      <c r="E697" s="2" t="s">
        <v>2027</v>
      </c>
    </row>
    <row r="698" spans="1:5" x14ac:dyDescent="0.2">
      <c r="A698" s="2" t="s">
        <v>1417</v>
      </c>
      <c r="B698" s="6">
        <v>45642</v>
      </c>
      <c r="C698" s="2">
        <v>23</v>
      </c>
      <c r="D698" s="2" t="s">
        <v>2028</v>
      </c>
      <c r="E698" s="2" t="s">
        <v>2027</v>
      </c>
    </row>
    <row r="699" spans="1:5" x14ac:dyDescent="0.2">
      <c r="A699" s="2" t="s">
        <v>1419</v>
      </c>
      <c r="B699" s="6">
        <v>45655</v>
      </c>
      <c r="C699" s="2">
        <v>47</v>
      </c>
      <c r="D699" s="2" t="s">
        <v>2025</v>
      </c>
      <c r="E699" s="2" t="s">
        <v>2027</v>
      </c>
    </row>
    <row r="700" spans="1:5" x14ac:dyDescent="0.2">
      <c r="A700" s="2" t="s">
        <v>1421</v>
      </c>
      <c r="B700" s="6">
        <v>45586</v>
      </c>
      <c r="C700" s="2">
        <v>28</v>
      </c>
      <c r="D700" s="2" t="s">
        <v>2025</v>
      </c>
      <c r="E700" s="2" t="s">
        <v>2027</v>
      </c>
    </row>
    <row r="701" spans="1:5" x14ac:dyDescent="0.2">
      <c r="A701" s="2" t="s">
        <v>1423</v>
      </c>
      <c r="B701" s="6">
        <v>45602</v>
      </c>
      <c r="C701" s="2">
        <v>55</v>
      </c>
      <c r="D701" s="2" t="s">
        <v>2028</v>
      </c>
      <c r="E701" s="2" t="s">
        <v>2026</v>
      </c>
    </row>
    <row r="702" spans="1:5" x14ac:dyDescent="0.2">
      <c r="A702" s="2" t="s">
        <v>1425</v>
      </c>
      <c r="B702" s="6">
        <v>45859</v>
      </c>
      <c r="C702" s="2">
        <v>35</v>
      </c>
      <c r="D702" s="2" t="s">
        <v>2025</v>
      </c>
      <c r="E702" s="2" t="s">
        <v>2030</v>
      </c>
    </row>
    <row r="703" spans="1:5" x14ac:dyDescent="0.2">
      <c r="A703" s="2" t="s">
        <v>1427</v>
      </c>
      <c r="B703" s="6">
        <v>45457</v>
      </c>
      <c r="C703" s="2">
        <v>18</v>
      </c>
      <c r="D703" s="2" t="s">
        <v>2028</v>
      </c>
      <c r="E703" s="2" t="s">
        <v>2027</v>
      </c>
    </row>
    <row r="704" spans="1:5" x14ac:dyDescent="0.2">
      <c r="A704" s="2" t="s">
        <v>1429</v>
      </c>
      <c r="B704" s="6">
        <v>45794</v>
      </c>
      <c r="C704" s="2">
        <v>48</v>
      </c>
      <c r="D704" s="2" t="s">
        <v>2028</v>
      </c>
      <c r="E704" s="2" t="s">
        <v>2030</v>
      </c>
    </row>
    <row r="705" spans="1:5" x14ac:dyDescent="0.2">
      <c r="A705" s="2" t="s">
        <v>1431</v>
      </c>
      <c r="B705" s="6">
        <v>45679</v>
      </c>
      <c r="C705" s="2">
        <v>26</v>
      </c>
      <c r="D705" s="2" t="s">
        <v>2025</v>
      </c>
      <c r="E705" s="2" t="s">
        <v>2027</v>
      </c>
    </row>
    <row r="706" spans="1:5" x14ac:dyDescent="0.2">
      <c r="A706" s="2" t="s">
        <v>1433</v>
      </c>
      <c r="B706" s="6">
        <v>45702</v>
      </c>
      <c r="C706" s="2">
        <v>47</v>
      </c>
      <c r="D706" s="2" t="s">
        <v>2025</v>
      </c>
      <c r="E706" s="2" t="s">
        <v>2027</v>
      </c>
    </row>
    <row r="707" spans="1:5" x14ac:dyDescent="0.2">
      <c r="A707" s="2" t="s">
        <v>1435</v>
      </c>
      <c r="B707" s="6">
        <v>45931</v>
      </c>
      <c r="C707" s="2">
        <v>42</v>
      </c>
      <c r="D707" s="2" t="s">
        <v>2028</v>
      </c>
      <c r="E707" s="2" t="s">
        <v>2027</v>
      </c>
    </row>
    <row r="708" spans="1:5" x14ac:dyDescent="0.2">
      <c r="A708" s="2" t="s">
        <v>1437</v>
      </c>
      <c r="B708" s="6">
        <v>45913</v>
      </c>
      <c r="C708" s="2">
        <v>55</v>
      </c>
      <c r="D708" s="2" t="s">
        <v>2025</v>
      </c>
      <c r="E708" s="2" t="s">
        <v>2027</v>
      </c>
    </row>
    <row r="709" spans="1:5" x14ac:dyDescent="0.2">
      <c r="A709" s="2" t="s">
        <v>1439</v>
      </c>
      <c r="B709" s="6">
        <v>45816</v>
      </c>
      <c r="C709" s="2">
        <v>43</v>
      </c>
      <c r="D709" s="2" t="s">
        <v>2025</v>
      </c>
      <c r="E709" s="2" t="s">
        <v>2030</v>
      </c>
    </row>
    <row r="710" spans="1:5" x14ac:dyDescent="0.2">
      <c r="A710" s="2" t="s">
        <v>1441</v>
      </c>
      <c r="B710" s="6">
        <v>45470</v>
      </c>
      <c r="C710" s="2">
        <v>32</v>
      </c>
      <c r="D710" s="2" t="s">
        <v>2028</v>
      </c>
      <c r="E710" s="2" t="s">
        <v>2027</v>
      </c>
    </row>
    <row r="711" spans="1:5" x14ac:dyDescent="0.2">
      <c r="A711" s="2" t="s">
        <v>1443</v>
      </c>
      <c r="B711" s="6">
        <v>45792</v>
      </c>
      <c r="C711" s="2">
        <v>32</v>
      </c>
      <c r="D711" s="2" t="s">
        <v>2028</v>
      </c>
      <c r="E711" s="2" t="s">
        <v>2027</v>
      </c>
    </row>
    <row r="712" spans="1:5" x14ac:dyDescent="0.2">
      <c r="A712" s="2" t="s">
        <v>1445</v>
      </c>
      <c r="B712" s="6">
        <v>45572</v>
      </c>
      <c r="C712" s="2">
        <v>50</v>
      </c>
      <c r="D712" s="2" t="s">
        <v>2028</v>
      </c>
      <c r="E712" s="2" t="s">
        <v>2027</v>
      </c>
    </row>
    <row r="713" spans="1:5" x14ac:dyDescent="0.2">
      <c r="A713" s="2" t="s">
        <v>1447</v>
      </c>
      <c r="B713" s="6">
        <v>45914</v>
      </c>
      <c r="C713" s="2">
        <v>40</v>
      </c>
      <c r="D713" s="2" t="s">
        <v>2025</v>
      </c>
      <c r="E713" s="2" t="s">
        <v>2027</v>
      </c>
    </row>
    <row r="714" spans="1:5" x14ac:dyDescent="0.2">
      <c r="A714" s="2" t="s">
        <v>1449</v>
      </c>
      <c r="B714" s="6">
        <v>45875</v>
      </c>
      <c r="C714" s="2">
        <v>34</v>
      </c>
      <c r="D714" s="2" t="s">
        <v>2025</v>
      </c>
      <c r="E714" s="2" t="s">
        <v>2027</v>
      </c>
    </row>
    <row r="715" spans="1:5" x14ac:dyDescent="0.2">
      <c r="A715" s="2" t="s">
        <v>1451</v>
      </c>
      <c r="B715" s="6">
        <v>45943</v>
      </c>
      <c r="C715" s="2">
        <v>25</v>
      </c>
      <c r="D715" s="2" t="s">
        <v>2025</v>
      </c>
      <c r="E715" s="2" t="s">
        <v>2030</v>
      </c>
    </row>
    <row r="716" spans="1:5" x14ac:dyDescent="0.2">
      <c r="A716" s="2" t="s">
        <v>1453</v>
      </c>
      <c r="B716" s="6">
        <v>45383</v>
      </c>
      <c r="C716" s="2">
        <v>51</v>
      </c>
      <c r="D716" s="2" t="s">
        <v>2028</v>
      </c>
      <c r="E716" s="2" t="s">
        <v>2027</v>
      </c>
    </row>
    <row r="717" spans="1:5" x14ac:dyDescent="0.2">
      <c r="A717" s="2" t="s">
        <v>1455</v>
      </c>
      <c r="B717" s="6">
        <v>45415</v>
      </c>
      <c r="C717" s="2">
        <v>21</v>
      </c>
      <c r="D717" s="2" t="s">
        <v>2025</v>
      </c>
      <c r="E717" s="2" t="s">
        <v>2027</v>
      </c>
    </row>
    <row r="718" spans="1:5" x14ac:dyDescent="0.2">
      <c r="A718" s="2" t="s">
        <v>1457</v>
      </c>
      <c r="B718" s="6">
        <v>45496</v>
      </c>
      <c r="C718" s="2">
        <v>39</v>
      </c>
      <c r="D718" s="2" t="s">
        <v>2025</v>
      </c>
      <c r="E718" s="2" t="s">
        <v>2027</v>
      </c>
    </row>
    <row r="719" spans="1:5" x14ac:dyDescent="0.2">
      <c r="A719" s="2" t="s">
        <v>1459</v>
      </c>
      <c r="B719" s="6">
        <v>45426</v>
      </c>
      <c r="C719" s="2">
        <v>51</v>
      </c>
      <c r="D719" s="2" t="s">
        <v>2025</v>
      </c>
      <c r="E719" s="2" t="s">
        <v>2027</v>
      </c>
    </row>
    <row r="720" spans="1:5" x14ac:dyDescent="0.2">
      <c r="A720" s="2" t="s">
        <v>1461</v>
      </c>
      <c r="B720" s="6">
        <v>45951</v>
      </c>
      <c r="C720" s="2">
        <v>52</v>
      </c>
      <c r="D720" s="2" t="s">
        <v>2028</v>
      </c>
      <c r="E720" s="2" t="s">
        <v>2027</v>
      </c>
    </row>
    <row r="721" spans="1:5" x14ac:dyDescent="0.2">
      <c r="A721" s="2" t="s">
        <v>1463</v>
      </c>
      <c r="B721" s="6">
        <v>45580</v>
      </c>
      <c r="C721" s="2">
        <v>46</v>
      </c>
      <c r="D721" s="2" t="s">
        <v>2025</v>
      </c>
      <c r="E721" s="2" t="s">
        <v>2027</v>
      </c>
    </row>
    <row r="722" spans="1:5" x14ac:dyDescent="0.2">
      <c r="A722" s="2" t="s">
        <v>1465</v>
      </c>
      <c r="B722" s="6">
        <v>45804</v>
      </c>
      <c r="C722" s="2">
        <v>18</v>
      </c>
      <c r="D722" s="2" t="s">
        <v>2028</v>
      </c>
      <c r="E722" s="2" t="s">
        <v>2027</v>
      </c>
    </row>
    <row r="723" spans="1:5" x14ac:dyDescent="0.2">
      <c r="A723" s="2" t="s">
        <v>1467</v>
      </c>
      <c r="B723" s="6">
        <v>45824</v>
      </c>
      <c r="C723" s="2">
        <v>50</v>
      </c>
      <c r="D723" s="2" t="s">
        <v>2028</v>
      </c>
      <c r="E723" s="2" t="s">
        <v>2027</v>
      </c>
    </row>
    <row r="724" spans="1:5" x14ac:dyDescent="0.2">
      <c r="A724" s="2" t="s">
        <v>1469</v>
      </c>
      <c r="B724" s="6">
        <v>45514</v>
      </c>
      <c r="C724" s="2">
        <v>28</v>
      </c>
      <c r="D724" s="2" t="s">
        <v>2025</v>
      </c>
      <c r="E724" s="2" t="s">
        <v>2027</v>
      </c>
    </row>
    <row r="725" spans="1:5" x14ac:dyDescent="0.2">
      <c r="A725" s="2" t="s">
        <v>1471</v>
      </c>
      <c r="B725" s="6">
        <v>45748</v>
      </c>
      <c r="C725" s="2">
        <v>53</v>
      </c>
      <c r="D725" s="2" t="s">
        <v>2025</v>
      </c>
      <c r="E725" s="2" t="s">
        <v>2027</v>
      </c>
    </row>
    <row r="726" spans="1:5" x14ac:dyDescent="0.2">
      <c r="A726" s="2" t="s">
        <v>1473</v>
      </c>
      <c r="B726" s="6">
        <v>45552</v>
      </c>
      <c r="C726" s="2">
        <v>34</v>
      </c>
      <c r="D726" s="2" t="s">
        <v>2028</v>
      </c>
      <c r="E726" s="2" t="s">
        <v>2030</v>
      </c>
    </row>
    <row r="727" spans="1:5" x14ac:dyDescent="0.2">
      <c r="A727" s="2" t="s">
        <v>1475</v>
      </c>
      <c r="B727" s="6">
        <v>45676</v>
      </c>
      <c r="C727" s="2">
        <v>29</v>
      </c>
      <c r="D727" s="2" t="s">
        <v>2028</v>
      </c>
      <c r="E727" s="2" t="s">
        <v>2027</v>
      </c>
    </row>
    <row r="728" spans="1:5" x14ac:dyDescent="0.2">
      <c r="A728" s="2" t="s">
        <v>1477</v>
      </c>
      <c r="B728" s="6">
        <v>45915</v>
      </c>
      <c r="C728" s="2">
        <v>31</v>
      </c>
      <c r="D728" s="2" t="s">
        <v>2025</v>
      </c>
      <c r="E728" s="2" t="s">
        <v>2027</v>
      </c>
    </row>
    <row r="729" spans="1:5" x14ac:dyDescent="0.2">
      <c r="A729" s="2" t="s">
        <v>1479</v>
      </c>
      <c r="B729" s="6">
        <v>45348</v>
      </c>
      <c r="C729" s="2">
        <v>28</v>
      </c>
      <c r="D729" s="2" t="s">
        <v>2028</v>
      </c>
      <c r="E729" s="2" t="s">
        <v>2027</v>
      </c>
    </row>
    <row r="730" spans="1:5" x14ac:dyDescent="0.2">
      <c r="A730" s="2" t="s">
        <v>1481</v>
      </c>
      <c r="B730" s="6">
        <v>45670</v>
      </c>
      <c r="C730" s="2">
        <v>52</v>
      </c>
      <c r="D730" s="2" t="s">
        <v>2028</v>
      </c>
      <c r="E730" s="2" t="s">
        <v>2027</v>
      </c>
    </row>
    <row r="731" spans="1:5" x14ac:dyDescent="0.2">
      <c r="A731" s="2" t="s">
        <v>1483</v>
      </c>
      <c r="B731" s="6">
        <v>45877</v>
      </c>
      <c r="C731" s="2">
        <v>21</v>
      </c>
      <c r="D731" s="2" t="s">
        <v>2028</v>
      </c>
      <c r="E731" s="2" t="s">
        <v>2026</v>
      </c>
    </row>
    <row r="732" spans="1:5" x14ac:dyDescent="0.2">
      <c r="A732" s="2" t="s">
        <v>1485</v>
      </c>
      <c r="B732" s="6">
        <v>45680</v>
      </c>
      <c r="C732" s="2">
        <v>44</v>
      </c>
      <c r="D732" s="2" t="s">
        <v>2025</v>
      </c>
      <c r="E732" s="2" t="s">
        <v>2027</v>
      </c>
    </row>
    <row r="733" spans="1:5" x14ac:dyDescent="0.2">
      <c r="A733" s="2" t="s">
        <v>1487</v>
      </c>
      <c r="B733" s="6">
        <v>45950</v>
      </c>
      <c r="C733" s="2">
        <v>49</v>
      </c>
      <c r="D733" s="2" t="s">
        <v>2025</v>
      </c>
      <c r="E733" s="2" t="s">
        <v>2027</v>
      </c>
    </row>
    <row r="734" spans="1:5" x14ac:dyDescent="0.2">
      <c r="A734" s="2" t="s">
        <v>1489</v>
      </c>
      <c r="B734" s="6">
        <v>45621</v>
      </c>
      <c r="C734" s="2">
        <v>34</v>
      </c>
      <c r="D734" s="2" t="s">
        <v>2028</v>
      </c>
      <c r="E734" s="2" t="s">
        <v>2027</v>
      </c>
    </row>
    <row r="735" spans="1:5" x14ac:dyDescent="0.2">
      <c r="A735" s="2" t="s">
        <v>1491</v>
      </c>
      <c r="B735" s="6">
        <v>45492</v>
      </c>
      <c r="C735" s="2">
        <v>43</v>
      </c>
      <c r="D735" s="2" t="s">
        <v>2028</v>
      </c>
      <c r="E735" s="2" t="s">
        <v>2026</v>
      </c>
    </row>
    <row r="736" spans="1:5" x14ac:dyDescent="0.2">
      <c r="A736" s="2" t="s">
        <v>1493</v>
      </c>
      <c r="B736" s="6">
        <v>45800</v>
      </c>
      <c r="C736" s="2">
        <v>27</v>
      </c>
      <c r="D736" s="2" t="s">
        <v>2028</v>
      </c>
      <c r="E736" s="2" t="s">
        <v>2030</v>
      </c>
    </row>
    <row r="737" spans="1:5" x14ac:dyDescent="0.2">
      <c r="A737" s="2" t="s">
        <v>1495</v>
      </c>
      <c r="B737" s="6">
        <v>45415</v>
      </c>
      <c r="C737" s="2">
        <v>27</v>
      </c>
      <c r="D737" s="2" t="s">
        <v>2025</v>
      </c>
      <c r="E737" s="2" t="s">
        <v>2027</v>
      </c>
    </row>
    <row r="738" spans="1:5" x14ac:dyDescent="0.2">
      <c r="A738" s="2" t="s">
        <v>1497</v>
      </c>
      <c r="B738" s="6">
        <v>45772</v>
      </c>
      <c r="C738" s="2">
        <v>37</v>
      </c>
      <c r="D738" s="2" t="s">
        <v>2028</v>
      </c>
      <c r="E738" s="2" t="s">
        <v>2030</v>
      </c>
    </row>
    <row r="739" spans="1:5" x14ac:dyDescent="0.2">
      <c r="A739" s="2" t="s">
        <v>1499</v>
      </c>
      <c r="B739" s="6">
        <v>45724</v>
      </c>
      <c r="C739" s="2">
        <v>33</v>
      </c>
      <c r="D739" s="2" t="s">
        <v>2028</v>
      </c>
      <c r="E739" s="2" t="s">
        <v>2027</v>
      </c>
    </row>
    <row r="740" spans="1:5" x14ac:dyDescent="0.2">
      <c r="A740" s="2" t="s">
        <v>1501</v>
      </c>
      <c r="B740" s="6">
        <v>45665</v>
      </c>
      <c r="C740" s="2">
        <v>33</v>
      </c>
      <c r="D740" s="2" t="s">
        <v>2028</v>
      </c>
      <c r="E740" s="2" t="s">
        <v>2027</v>
      </c>
    </row>
    <row r="741" spans="1:5" x14ac:dyDescent="0.2">
      <c r="A741" s="2" t="s">
        <v>1503</v>
      </c>
      <c r="B741" s="6">
        <v>45700</v>
      </c>
      <c r="C741" s="2">
        <v>53</v>
      </c>
      <c r="D741" s="2" t="s">
        <v>2028</v>
      </c>
      <c r="E741" s="2" t="s">
        <v>2030</v>
      </c>
    </row>
    <row r="742" spans="1:5" x14ac:dyDescent="0.2">
      <c r="A742" s="2" t="s">
        <v>1505</v>
      </c>
      <c r="B742" s="6">
        <v>45357</v>
      </c>
      <c r="C742" s="2">
        <v>20</v>
      </c>
      <c r="D742" s="2" t="s">
        <v>2028</v>
      </c>
      <c r="E742" s="2" t="s">
        <v>2027</v>
      </c>
    </row>
    <row r="743" spans="1:5" x14ac:dyDescent="0.2">
      <c r="A743" s="2" t="s">
        <v>1507</v>
      </c>
      <c r="B743" s="6">
        <v>45384</v>
      </c>
      <c r="C743" s="2">
        <v>43</v>
      </c>
      <c r="D743" s="2" t="s">
        <v>2028</v>
      </c>
      <c r="E743" s="2" t="s">
        <v>2030</v>
      </c>
    </row>
    <row r="744" spans="1:5" x14ac:dyDescent="0.2">
      <c r="A744" s="2" t="s">
        <v>1509</v>
      </c>
      <c r="B744" s="6">
        <v>45781</v>
      </c>
      <c r="C744" s="2">
        <v>51</v>
      </c>
      <c r="D744" s="2" t="s">
        <v>2025</v>
      </c>
      <c r="E744" s="2" t="s">
        <v>2027</v>
      </c>
    </row>
    <row r="745" spans="1:5" x14ac:dyDescent="0.2">
      <c r="A745" s="2" t="s">
        <v>1511</v>
      </c>
      <c r="B745" s="6">
        <v>45815</v>
      </c>
      <c r="C745" s="2">
        <v>41</v>
      </c>
      <c r="D745" s="2" t="s">
        <v>2025</v>
      </c>
      <c r="E745" s="2" t="s">
        <v>2027</v>
      </c>
    </row>
    <row r="746" spans="1:5" x14ac:dyDescent="0.2">
      <c r="A746" s="2" t="s">
        <v>1513</v>
      </c>
      <c r="B746" s="6">
        <v>45601</v>
      </c>
      <c r="C746" s="2">
        <v>19</v>
      </c>
      <c r="D746" s="2" t="s">
        <v>2025</v>
      </c>
      <c r="E746" s="2" t="s">
        <v>2027</v>
      </c>
    </row>
    <row r="747" spans="1:5" x14ac:dyDescent="0.2">
      <c r="A747" s="2" t="s">
        <v>1515</v>
      </c>
      <c r="B747" s="6">
        <v>45495</v>
      </c>
      <c r="C747" s="2">
        <v>22</v>
      </c>
      <c r="D747" s="2" t="s">
        <v>2028</v>
      </c>
      <c r="E747" s="2" t="s">
        <v>2027</v>
      </c>
    </row>
    <row r="748" spans="1:5" x14ac:dyDescent="0.2">
      <c r="A748" s="2" t="s">
        <v>1517</v>
      </c>
      <c r="B748" s="6">
        <v>45871</v>
      </c>
      <c r="C748" s="2">
        <v>24</v>
      </c>
      <c r="D748" s="2" t="s">
        <v>2025</v>
      </c>
      <c r="E748" s="2" t="s">
        <v>2026</v>
      </c>
    </row>
    <row r="749" spans="1:5" x14ac:dyDescent="0.2">
      <c r="A749" s="2" t="s">
        <v>1519</v>
      </c>
      <c r="B749" s="6">
        <v>45479</v>
      </c>
      <c r="C749" s="2">
        <v>53</v>
      </c>
      <c r="D749" s="2" t="s">
        <v>2025</v>
      </c>
      <c r="E749" s="2" t="s">
        <v>2027</v>
      </c>
    </row>
    <row r="750" spans="1:5" x14ac:dyDescent="0.2">
      <c r="A750" s="2" t="s">
        <v>1521</v>
      </c>
      <c r="B750" s="6">
        <v>45914</v>
      </c>
      <c r="C750" s="2">
        <v>26</v>
      </c>
      <c r="D750" s="2" t="s">
        <v>2028</v>
      </c>
      <c r="E750" s="2" t="s">
        <v>2027</v>
      </c>
    </row>
    <row r="751" spans="1:5" x14ac:dyDescent="0.2">
      <c r="A751" s="2" t="s">
        <v>1523</v>
      </c>
      <c r="B751" s="6">
        <v>45731</v>
      </c>
      <c r="C751" s="2">
        <v>33</v>
      </c>
      <c r="D751" s="2" t="s">
        <v>2025</v>
      </c>
      <c r="E751" s="2" t="s">
        <v>2026</v>
      </c>
    </row>
    <row r="752" spans="1:5" x14ac:dyDescent="0.2">
      <c r="A752" s="2" t="s">
        <v>1525</v>
      </c>
      <c r="B752" s="6">
        <v>45486</v>
      </c>
      <c r="C752" s="2">
        <v>23</v>
      </c>
      <c r="D752" s="2" t="s">
        <v>2025</v>
      </c>
      <c r="E752" s="2" t="s">
        <v>2026</v>
      </c>
    </row>
    <row r="753" spans="1:5" x14ac:dyDescent="0.2">
      <c r="A753" s="2" t="s">
        <v>1527</v>
      </c>
      <c r="B753" s="6">
        <v>45962</v>
      </c>
      <c r="C753" s="2">
        <v>18</v>
      </c>
      <c r="D753" s="2" t="s">
        <v>2028</v>
      </c>
      <c r="E753" s="2" t="s">
        <v>2027</v>
      </c>
    </row>
    <row r="754" spans="1:5" x14ac:dyDescent="0.2">
      <c r="A754" s="2" t="s">
        <v>1529</v>
      </c>
      <c r="B754" s="6">
        <v>45908</v>
      </c>
      <c r="C754" s="2">
        <v>35</v>
      </c>
      <c r="D754" s="2" t="s">
        <v>2025</v>
      </c>
      <c r="E754" s="2" t="s">
        <v>2026</v>
      </c>
    </row>
    <row r="755" spans="1:5" x14ac:dyDescent="0.2">
      <c r="A755" s="2" t="s">
        <v>1531</v>
      </c>
      <c r="B755" s="6">
        <v>45694</v>
      </c>
      <c r="C755" s="2">
        <v>44</v>
      </c>
      <c r="D755" s="2" t="s">
        <v>2028</v>
      </c>
      <c r="E755" s="2" t="s">
        <v>2026</v>
      </c>
    </row>
    <row r="756" spans="1:5" x14ac:dyDescent="0.2">
      <c r="A756" s="2" t="s">
        <v>1533</v>
      </c>
      <c r="B756" s="6">
        <v>45510</v>
      </c>
      <c r="C756" s="2">
        <v>35</v>
      </c>
      <c r="D756" s="2" t="s">
        <v>2025</v>
      </c>
      <c r="E756" s="2" t="s">
        <v>2027</v>
      </c>
    </row>
    <row r="757" spans="1:5" x14ac:dyDescent="0.2">
      <c r="A757" s="2" t="s">
        <v>1535</v>
      </c>
      <c r="B757" s="6">
        <v>45730</v>
      </c>
      <c r="C757" s="2">
        <v>25</v>
      </c>
      <c r="D757" s="2" t="s">
        <v>2025</v>
      </c>
      <c r="E757" s="2" t="s">
        <v>2027</v>
      </c>
    </row>
    <row r="758" spans="1:5" x14ac:dyDescent="0.2">
      <c r="A758" s="2" t="s">
        <v>1537</v>
      </c>
      <c r="B758" s="6">
        <v>45656</v>
      </c>
      <c r="C758" s="2">
        <v>51</v>
      </c>
      <c r="D758" s="2" t="s">
        <v>2025</v>
      </c>
      <c r="E758" s="2" t="s">
        <v>2027</v>
      </c>
    </row>
    <row r="759" spans="1:5" x14ac:dyDescent="0.2">
      <c r="A759" s="2" t="s">
        <v>1539</v>
      </c>
      <c r="B759" s="6">
        <v>45351</v>
      </c>
      <c r="C759" s="2">
        <v>47</v>
      </c>
      <c r="D759" s="2" t="s">
        <v>2025</v>
      </c>
      <c r="E759" s="2" t="s">
        <v>2027</v>
      </c>
    </row>
    <row r="760" spans="1:5" x14ac:dyDescent="0.2">
      <c r="A760" s="2" t="s">
        <v>1541</v>
      </c>
      <c r="B760" s="6">
        <v>45584</v>
      </c>
      <c r="C760" s="2">
        <v>19</v>
      </c>
      <c r="D760" s="2" t="s">
        <v>2028</v>
      </c>
      <c r="E760" s="2" t="s">
        <v>2027</v>
      </c>
    </row>
    <row r="761" spans="1:5" x14ac:dyDescent="0.2">
      <c r="A761" s="2" t="s">
        <v>1543</v>
      </c>
      <c r="B761" s="6">
        <v>45769</v>
      </c>
      <c r="C761" s="2">
        <v>26</v>
      </c>
      <c r="D761" s="2" t="s">
        <v>2025</v>
      </c>
      <c r="E761" s="2" t="s">
        <v>2030</v>
      </c>
    </row>
    <row r="762" spans="1:5" x14ac:dyDescent="0.2">
      <c r="A762" s="2" t="s">
        <v>1545</v>
      </c>
      <c r="B762" s="6">
        <v>45448</v>
      </c>
      <c r="C762" s="2">
        <v>24</v>
      </c>
      <c r="D762" s="2" t="s">
        <v>2025</v>
      </c>
      <c r="E762" s="2" t="s">
        <v>2026</v>
      </c>
    </row>
    <row r="763" spans="1:5" x14ac:dyDescent="0.2">
      <c r="A763" s="2" t="s">
        <v>1547</v>
      </c>
      <c r="B763" s="6">
        <v>45613</v>
      </c>
      <c r="C763" s="2">
        <v>26</v>
      </c>
      <c r="D763" s="2" t="s">
        <v>2028</v>
      </c>
      <c r="E763" s="2" t="s">
        <v>2026</v>
      </c>
    </row>
    <row r="764" spans="1:5" x14ac:dyDescent="0.2">
      <c r="A764" s="2" t="s">
        <v>1549</v>
      </c>
      <c r="B764" s="6">
        <v>45507</v>
      </c>
      <c r="C764" s="2">
        <v>32</v>
      </c>
      <c r="D764" s="2" t="s">
        <v>2025</v>
      </c>
      <c r="E764" s="2" t="s">
        <v>2027</v>
      </c>
    </row>
    <row r="765" spans="1:5" x14ac:dyDescent="0.2">
      <c r="A765" s="2" t="s">
        <v>1551</v>
      </c>
      <c r="B765" s="6">
        <v>45618</v>
      </c>
      <c r="C765" s="2">
        <v>24</v>
      </c>
      <c r="D765" s="2" t="s">
        <v>2028</v>
      </c>
      <c r="E765" s="2" t="s">
        <v>2027</v>
      </c>
    </row>
    <row r="766" spans="1:5" x14ac:dyDescent="0.2">
      <c r="A766" s="2" t="s">
        <v>1553</v>
      </c>
      <c r="B766" s="6">
        <v>45776</v>
      </c>
      <c r="C766" s="2">
        <v>48</v>
      </c>
      <c r="D766" s="2" t="s">
        <v>2025</v>
      </c>
      <c r="E766" s="2" t="s">
        <v>2027</v>
      </c>
    </row>
    <row r="767" spans="1:5" x14ac:dyDescent="0.2">
      <c r="A767" s="2" t="s">
        <v>1555</v>
      </c>
      <c r="B767" s="6">
        <v>45666</v>
      </c>
      <c r="C767" s="2">
        <v>55</v>
      </c>
      <c r="D767" s="2" t="s">
        <v>2025</v>
      </c>
      <c r="E767" s="2" t="s">
        <v>2027</v>
      </c>
    </row>
    <row r="768" spans="1:5" x14ac:dyDescent="0.2">
      <c r="A768" s="2" t="s">
        <v>1557</v>
      </c>
      <c r="B768" s="6">
        <v>45355</v>
      </c>
      <c r="C768" s="2">
        <v>23</v>
      </c>
      <c r="D768" s="2" t="s">
        <v>2025</v>
      </c>
      <c r="E768" s="2" t="s">
        <v>2026</v>
      </c>
    </row>
    <row r="769" spans="1:5" x14ac:dyDescent="0.2">
      <c r="A769" s="2" t="s">
        <v>1559</v>
      </c>
      <c r="B769" s="6">
        <v>45944</v>
      </c>
      <c r="C769" s="2">
        <v>25</v>
      </c>
      <c r="D769" s="2" t="s">
        <v>2025</v>
      </c>
      <c r="E769" s="2" t="s">
        <v>2026</v>
      </c>
    </row>
    <row r="770" spans="1:5" x14ac:dyDescent="0.2">
      <c r="A770" s="2" t="s">
        <v>1561</v>
      </c>
      <c r="B770" s="6">
        <v>45892</v>
      </c>
      <c r="C770" s="2">
        <v>19</v>
      </c>
      <c r="D770" s="2" t="s">
        <v>2025</v>
      </c>
      <c r="E770" s="2" t="s">
        <v>2027</v>
      </c>
    </row>
    <row r="771" spans="1:5" x14ac:dyDescent="0.2">
      <c r="A771" s="2" t="s">
        <v>1563</v>
      </c>
      <c r="B771" s="6">
        <v>45968</v>
      </c>
      <c r="C771" s="2">
        <v>18</v>
      </c>
      <c r="D771" s="2" t="s">
        <v>2028</v>
      </c>
      <c r="E771" s="2" t="s">
        <v>2027</v>
      </c>
    </row>
    <row r="772" spans="1:5" x14ac:dyDescent="0.2">
      <c r="A772" s="2" t="s">
        <v>1565</v>
      </c>
      <c r="B772" s="6">
        <v>45799</v>
      </c>
      <c r="C772" s="2">
        <v>46</v>
      </c>
      <c r="D772" s="2" t="s">
        <v>2028</v>
      </c>
      <c r="E772" s="2" t="s">
        <v>2030</v>
      </c>
    </row>
    <row r="773" spans="1:5" x14ac:dyDescent="0.2">
      <c r="A773" s="2" t="s">
        <v>1567</v>
      </c>
      <c r="B773" s="6">
        <v>45809</v>
      </c>
      <c r="C773" s="2">
        <v>24</v>
      </c>
      <c r="D773" s="2" t="s">
        <v>2025</v>
      </c>
      <c r="E773" s="2" t="s">
        <v>2027</v>
      </c>
    </row>
    <row r="774" spans="1:5" x14ac:dyDescent="0.2">
      <c r="A774" s="2" t="s">
        <v>1569</v>
      </c>
      <c r="B774" s="6">
        <v>45747</v>
      </c>
      <c r="C774" s="2">
        <v>52</v>
      </c>
      <c r="D774" s="2" t="s">
        <v>2025</v>
      </c>
      <c r="E774" s="2" t="s">
        <v>2027</v>
      </c>
    </row>
    <row r="775" spans="1:5" x14ac:dyDescent="0.2">
      <c r="A775" s="2" t="s">
        <v>1571</v>
      </c>
      <c r="B775" s="6">
        <v>45420</v>
      </c>
      <c r="C775" s="2">
        <v>49</v>
      </c>
      <c r="D775" s="2" t="s">
        <v>2028</v>
      </c>
      <c r="E775" s="2" t="s">
        <v>2027</v>
      </c>
    </row>
    <row r="776" spans="1:5" x14ac:dyDescent="0.2">
      <c r="A776" s="2" t="s">
        <v>1573</v>
      </c>
      <c r="B776" s="6">
        <v>45420</v>
      </c>
      <c r="C776" s="2">
        <v>34</v>
      </c>
      <c r="D776" s="2" t="s">
        <v>2028</v>
      </c>
      <c r="E776" s="2" t="s">
        <v>2026</v>
      </c>
    </row>
    <row r="777" spans="1:5" x14ac:dyDescent="0.2">
      <c r="A777" s="2" t="s">
        <v>1575</v>
      </c>
      <c r="B777" s="6">
        <v>45732</v>
      </c>
      <c r="C777" s="2">
        <v>45</v>
      </c>
      <c r="D777" s="2" t="s">
        <v>2028</v>
      </c>
      <c r="E777" s="2" t="s">
        <v>2027</v>
      </c>
    </row>
    <row r="778" spans="1:5" x14ac:dyDescent="0.2">
      <c r="A778" s="2" t="s">
        <v>1578</v>
      </c>
      <c r="B778" s="6">
        <v>45798</v>
      </c>
      <c r="C778" s="2">
        <v>39</v>
      </c>
      <c r="D778" s="2" t="s">
        <v>2028</v>
      </c>
      <c r="E778" s="2" t="s">
        <v>2027</v>
      </c>
    </row>
    <row r="779" spans="1:5" x14ac:dyDescent="0.2">
      <c r="A779" s="2" t="s">
        <v>1580</v>
      </c>
      <c r="B779" s="6">
        <v>45858</v>
      </c>
      <c r="C779" s="2">
        <v>27</v>
      </c>
      <c r="D779" s="2" t="s">
        <v>2029</v>
      </c>
      <c r="E779" s="2" t="s">
        <v>2027</v>
      </c>
    </row>
    <row r="780" spans="1:5" x14ac:dyDescent="0.2">
      <c r="A780" s="2" t="s">
        <v>1582</v>
      </c>
      <c r="B780" s="6">
        <v>45385</v>
      </c>
      <c r="C780" s="2">
        <v>31</v>
      </c>
      <c r="D780" s="2" t="s">
        <v>2025</v>
      </c>
      <c r="E780" s="2" t="s">
        <v>2030</v>
      </c>
    </row>
    <row r="781" spans="1:5" x14ac:dyDescent="0.2">
      <c r="A781" s="2" t="s">
        <v>1584</v>
      </c>
      <c r="B781" s="6">
        <v>45903</v>
      </c>
      <c r="C781" s="2">
        <v>27</v>
      </c>
      <c r="D781" s="2" t="s">
        <v>2025</v>
      </c>
      <c r="E781" s="2" t="s">
        <v>2027</v>
      </c>
    </row>
    <row r="782" spans="1:5" x14ac:dyDescent="0.2">
      <c r="A782" s="2" t="s">
        <v>1586</v>
      </c>
      <c r="B782" s="6">
        <v>45859</v>
      </c>
      <c r="C782" s="2">
        <v>52</v>
      </c>
      <c r="D782" s="2" t="s">
        <v>2025</v>
      </c>
      <c r="E782" s="2" t="s">
        <v>2030</v>
      </c>
    </row>
    <row r="783" spans="1:5" x14ac:dyDescent="0.2">
      <c r="A783" s="2" t="s">
        <v>1588</v>
      </c>
      <c r="B783" s="6">
        <v>45858</v>
      </c>
      <c r="C783" s="2">
        <v>44</v>
      </c>
      <c r="D783" s="2" t="s">
        <v>2028</v>
      </c>
      <c r="E783" s="2" t="s">
        <v>2030</v>
      </c>
    </row>
    <row r="784" spans="1:5" x14ac:dyDescent="0.2">
      <c r="A784" s="2" t="s">
        <v>1590</v>
      </c>
      <c r="B784" s="6">
        <v>45767</v>
      </c>
      <c r="C784" s="2">
        <v>44</v>
      </c>
      <c r="D784" s="2" t="s">
        <v>2025</v>
      </c>
      <c r="E784" s="2" t="s">
        <v>2027</v>
      </c>
    </row>
    <row r="785" spans="1:5" x14ac:dyDescent="0.2">
      <c r="A785" s="2" t="s">
        <v>1592</v>
      </c>
      <c r="B785" s="6">
        <v>45647</v>
      </c>
      <c r="C785" s="2">
        <v>55</v>
      </c>
      <c r="D785" s="2" t="s">
        <v>2025</v>
      </c>
      <c r="E785" s="2" t="s">
        <v>2027</v>
      </c>
    </row>
    <row r="786" spans="1:5" x14ac:dyDescent="0.2">
      <c r="A786" s="2" t="s">
        <v>1594</v>
      </c>
      <c r="B786" s="6">
        <v>45520</v>
      </c>
      <c r="C786" s="2">
        <v>55</v>
      </c>
      <c r="D786" s="2" t="s">
        <v>2028</v>
      </c>
      <c r="E786" s="2" t="s">
        <v>2027</v>
      </c>
    </row>
    <row r="787" spans="1:5" x14ac:dyDescent="0.2">
      <c r="A787" s="2" t="s">
        <v>1596</v>
      </c>
      <c r="B787" s="6">
        <v>45476</v>
      </c>
      <c r="C787" s="2">
        <v>48</v>
      </c>
      <c r="D787" s="2" t="s">
        <v>2025</v>
      </c>
      <c r="E787" s="2" t="s">
        <v>2030</v>
      </c>
    </row>
    <row r="788" spans="1:5" x14ac:dyDescent="0.2">
      <c r="A788" s="2" t="s">
        <v>1598</v>
      </c>
      <c r="B788" s="6">
        <v>45892</v>
      </c>
      <c r="C788" s="2">
        <v>39</v>
      </c>
      <c r="D788" s="2" t="s">
        <v>2028</v>
      </c>
      <c r="E788" s="2" t="s">
        <v>2027</v>
      </c>
    </row>
    <row r="789" spans="1:5" x14ac:dyDescent="0.2">
      <c r="A789" s="2" t="s">
        <v>1600</v>
      </c>
      <c r="B789" s="6">
        <v>45509</v>
      </c>
      <c r="C789" s="2">
        <v>46</v>
      </c>
      <c r="D789" s="2" t="s">
        <v>2025</v>
      </c>
      <c r="E789" s="2" t="s">
        <v>2026</v>
      </c>
    </row>
    <row r="790" spans="1:5" x14ac:dyDescent="0.2">
      <c r="A790" s="2" t="s">
        <v>1602</v>
      </c>
      <c r="B790" s="6">
        <v>45460</v>
      </c>
      <c r="C790" s="2">
        <v>35</v>
      </c>
      <c r="D790" s="2" t="s">
        <v>2025</v>
      </c>
      <c r="E790" s="2" t="s">
        <v>2027</v>
      </c>
    </row>
    <row r="791" spans="1:5" x14ac:dyDescent="0.2">
      <c r="A791" s="2" t="s">
        <v>1604</v>
      </c>
      <c r="B791" s="6">
        <v>45783</v>
      </c>
      <c r="C791" s="2">
        <v>52</v>
      </c>
      <c r="D791" s="2" t="s">
        <v>2025</v>
      </c>
      <c r="E791" s="2" t="s">
        <v>2026</v>
      </c>
    </row>
    <row r="792" spans="1:5" x14ac:dyDescent="0.2">
      <c r="A792" s="2" t="s">
        <v>1606</v>
      </c>
      <c r="B792" s="6">
        <v>45608</v>
      </c>
      <c r="C792" s="2">
        <v>29</v>
      </c>
      <c r="D792" s="2" t="s">
        <v>2025</v>
      </c>
      <c r="E792" s="2" t="s">
        <v>2027</v>
      </c>
    </row>
    <row r="793" spans="1:5" x14ac:dyDescent="0.2">
      <c r="A793" s="2" t="s">
        <v>1608</v>
      </c>
      <c r="B793" s="6">
        <v>45642</v>
      </c>
      <c r="C793" s="2">
        <v>36</v>
      </c>
      <c r="D793" s="2" t="s">
        <v>2025</v>
      </c>
      <c r="E793" s="2" t="s">
        <v>2027</v>
      </c>
    </row>
    <row r="794" spans="1:5" x14ac:dyDescent="0.2">
      <c r="A794" s="2" t="s">
        <v>1610</v>
      </c>
      <c r="B794" s="6">
        <v>45539</v>
      </c>
      <c r="C794" s="2">
        <v>30</v>
      </c>
      <c r="D794" s="2" t="s">
        <v>2025</v>
      </c>
      <c r="E794" s="2" t="s">
        <v>2027</v>
      </c>
    </row>
    <row r="795" spans="1:5" x14ac:dyDescent="0.2">
      <c r="A795" s="2" t="s">
        <v>1612</v>
      </c>
      <c r="B795" s="6">
        <v>45802</v>
      </c>
      <c r="C795" s="2">
        <v>32</v>
      </c>
      <c r="D795" s="2" t="s">
        <v>2025</v>
      </c>
      <c r="E795" s="2" t="s">
        <v>2027</v>
      </c>
    </row>
    <row r="796" spans="1:5" x14ac:dyDescent="0.2">
      <c r="A796" s="2" t="s">
        <v>1614</v>
      </c>
      <c r="B796" s="6">
        <v>45852</v>
      </c>
      <c r="C796" s="2">
        <v>31</v>
      </c>
      <c r="D796" s="2" t="s">
        <v>2025</v>
      </c>
      <c r="E796" s="2" t="s">
        <v>2027</v>
      </c>
    </row>
    <row r="797" spans="1:5" x14ac:dyDescent="0.2">
      <c r="A797" s="2" t="s">
        <v>1616</v>
      </c>
      <c r="B797" s="6">
        <v>45525</v>
      </c>
      <c r="C797" s="2">
        <v>33</v>
      </c>
      <c r="D797" s="2" t="s">
        <v>2028</v>
      </c>
      <c r="E797" s="2" t="s">
        <v>2027</v>
      </c>
    </row>
    <row r="798" spans="1:5" x14ac:dyDescent="0.2">
      <c r="A798" s="2" t="s">
        <v>1618</v>
      </c>
      <c r="B798" s="6">
        <v>45891</v>
      </c>
      <c r="C798" s="2">
        <v>39</v>
      </c>
      <c r="D798" s="2" t="s">
        <v>2028</v>
      </c>
      <c r="E798" s="2" t="s">
        <v>2027</v>
      </c>
    </row>
    <row r="799" spans="1:5" x14ac:dyDescent="0.2">
      <c r="A799" s="2" t="s">
        <v>1620</v>
      </c>
      <c r="B799" s="6">
        <v>45680</v>
      </c>
      <c r="C799" s="2">
        <v>27</v>
      </c>
      <c r="D799" s="2" t="s">
        <v>2025</v>
      </c>
      <c r="E799" s="2" t="s">
        <v>2027</v>
      </c>
    </row>
    <row r="800" spans="1:5" x14ac:dyDescent="0.2">
      <c r="A800" s="2" t="s">
        <v>1622</v>
      </c>
      <c r="B800" s="6">
        <v>45893</v>
      </c>
      <c r="C800" s="2">
        <v>52</v>
      </c>
      <c r="D800" s="2" t="s">
        <v>2028</v>
      </c>
      <c r="E800" s="2" t="s">
        <v>2027</v>
      </c>
    </row>
    <row r="801" spans="1:5" x14ac:dyDescent="0.2">
      <c r="A801" s="2" t="s">
        <v>1624</v>
      </c>
      <c r="B801" s="6">
        <v>45883</v>
      </c>
      <c r="C801" s="2">
        <v>50</v>
      </c>
      <c r="D801" s="2" t="s">
        <v>2028</v>
      </c>
      <c r="E801" s="2" t="s">
        <v>2027</v>
      </c>
    </row>
    <row r="802" spans="1:5" x14ac:dyDescent="0.2">
      <c r="A802" s="2" t="s">
        <v>1626</v>
      </c>
      <c r="B802" s="6">
        <v>45862</v>
      </c>
      <c r="C802" s="2">
        <v>51</v>
      </c>
      <c r="D802" s="2" t="s">
        <v>2028</v>
      </c>
      <c r="E802" s="2" t="s">
        <v>2027</v>
      </c>
    </row>
    <row r="803" spans="1:5" x14ac:dyDescent="0.2">
      <c r="A803" s="2" t="s">
        <v>1628</v>
      </c>
      <c r="B803" s="6">
        <v>45457</v>
      </c>
      <c r="C803" s="2">
        <v>23</v>
      </c>
      <c r="D803" s="2" t="s">
        <v>2028</v>
      </c>
      <c r="E803" s="2" t="s">
        <v>2027</v>
      </c>
    </row>
    <row r="804" spans="1:5" x14ac:dyDescent="0.2">
      <c r="A804" s="2" t="s">
        <v>1630</v>
      </c>
      <c r="B804" s="6">
        <v>45435</v>
      </c>
      <c r="C804" s="2">
        <v>34</v>
      </c>
      <c r="D804" s="2" t="s">
        <v>2028</v>
      </c>
      <c r="E804" s="2" t="s">
        <v>2027</v>
      </c>
    </row>
    <row r="805" spans="1:5" x14ac:dyDescent="0.2">
      <c r="A805" s="2" t="s">
        <v>1632</v>
      </c>
      <c r="B805" s="6">
        <v>45455</v>
      </c>
      <c r="C805" s="2">
        <v>49</v>
      </c>
      <c r="D805" s="2" t="s">
        <v>2028</v>
      </c>
      <c r="E805" s="2" t="s">
        <v>2027</v>
      </c>
    </row>
    <row r="806" spans="1:5" x14ac:dyDescent="0.2">
      <c r="A806" s="2" t="s">
        <v>1634</v>
      </c>
      <c r="B806" s="6">
        <v>45507</v>
      </c>
      <c r="C806" s="2">
        <v>26</v>
      </c>
      <c r="D806" s="2" t="s">
        <v>2028</v>
      </c>
      <c r="E806" s="2" t="s">
        <v>2027</v>
      </c>
    </row>
    <row r="807" spans="1:5" x14ac:dyDescent="0.2">
      <c r="A807" s="2" t="s">
        <v>1636</v>
      </c>
      <c r="B807" s="6">
        <v>45394</v>
      </c>
      <c r="C807" s="2">
        <v>19</v>
      </c>
      <c r="D807" s="2" t="s">
        <v>2028</v>
      </c>
      <c r="E807" s="2" t="s">
        <v>2027</v>
      </c>
    </row>
    <row r="808" spans="1:5" x14ac:dyDescent="0.2">
      <c r="A808" s="2" t="s">
        <v>1638</v>
      </c>
      <c r="B808" s="6">
        <v>45390</v>
      </c>
      <c r="C808" s="2">
        <v>49</v>
      </c>
      <c r="D808" s="2" t="s">
        <v>2025</v>
      </c>
      <c r="E808" s="2" t="s">
        <v>2027</v>
      </c>
    </row>
    <row r="809" spans="1:5" x14ac:dyDescent="0.2">
      <c r="A809" s="2" t="s">
        <v>1640</v>
      </c>
      <c r="B809" s="6">
        <v>45924</v>
      </c>
      <c r="C809" s="2">
        <v>29</v>
      </c>
      <c r="D809" s="2" t="s">
        <v>2025</v>
      </c>
      <c r="E809" s="2" t="s">
        <v>2027</v>
      </c>
    </row>
    <row r="810" spans="1:5" x14ac:dyDescent="0.2">
      <c r="A810" s="2" t="s">
        <v>1642</v>
      </c>
      <c r="B810" s="6">
        <v>45670</v>
      </c>
      <c r="C810" s="2">
        <v>26</v>
      </c>
      <c r="D810" s="2" t="s">
        <v>2028</v>
      </c>
      <c r="E810" s="2" t="s">
        <v>2026</v>
      </c>
    </row>
    <row r="811" spans="1:5" x14ac:dyDescent="0.2">
      <c r="A811" s="2" t="s">
        <v>1644</v>
      </c>
      <c r="B811" s="6">
        <v>45767</v>
      </c>
      <c r="C811" s="2">
        <v>45</v>
      </c>
      <c r="D811" s="2" t="s">
        <v>2025</v>
      </c>
      <c r="E811" s="2" t="s">
        <v>2027</v>
      </c>
    </row>
    <row r="812" spans="1:5" x14ac:dyDescent="0.2">
      <c r="A812" s="2" t="s">
        <v>1646</v>
      </c>
      <c r="B812" s="6">
        <v>45659</v>
      </c>
      <c r="C812" s="2">
        <v>45</v>
      </c>
      <c r="D812" s="2" t="s">
        <v>2028</v>
      </c>
      <c r="E812" s="2" t="s">
        <v>2027</v>
      </c>
    </row>
    <row r="813" spans="1:5" x14ac:dyDescent="0.2">
      <c r="A813" s="2" t="s">
        <v>1648</v>
      </c>
      <c r="B813" s="6">
        <v>45877</v>
      </c>
      <c r="C813" s="2">
        <v>36</v>
      </c>
      <c r="D813" s="2" t="s">
        <v>2028</v>
      </c>
      <c r="E813" s="2" t="s">
        <v>2026</v>
      </c>
    </row>
    <row r="814" spans="1:5" x14ac:dyDescent="0.2">
      <c r="A814" s="2" t="s">
        <v>1650</v>
      </c>
      <c r="B814" s="6">
        <v>45630</v>
      </c>
      <c r="C814" s="2">
        <v>52</v>
      </c>
      <c r="D814" s="2" t="s">
        <v>2028</v>
      </c>
      <c r="E814" s="2" t="s">
        <v>2030</v>
      </c>
    </row>
    <row r="815" spans="1:5" x14ac:dyDescent="0.2">
      <c r="A815" s="2" t="s">
        <v>1652</v>
      </c>
      <c r="B815" s="6">
        <v>45847</v>
      </c>
      <c r="C815" s="2">
        <v>19</v>
      </c>
      <c r="D815" s="2" t="s">
        <v>2028</v>
      </c>
      <c r="E815" s="2" t="s">
        <v>2027</v>
      </c>
    </row>
    <row r="816" spans="1:5" x14ac:dyDescent="0.2">
      <c r="A816" s="2" t="s">
        <v>1654</v>
      </c>
      <c r="B816" s="6">
        <v>45774</v>
      </c>
      <c r="C816" s="2">
        <v>36</v>
      </c>
      <c r="D816" s="2" t="s">
        <v>2025</v>
      </c>
      <c r="E816" s="2" t="s">
        <v>2027</v>
      </c>
    </row>
    <row r="817" spans="1:5" x14ac:dyDescent="0.2">
      <c r="A817" s="2" t="s">
        <v>1656</v>
      </c>
      <c r="B817" s="6">
        <v>45354</v>
      </c>
      <c r="C817" s="2">
        <v>36</v>
      </c>
      <c r="D817" s="2" t="s">
        <v>2028</v>
      </c>
      <c r="E817" s="2" t="s">
        <v>2027</v>
      </c>
    </row>
    <row r="818" spans="1:5" x14ac:dyDescent="0.2">
      <c r="A818" s="2" t="s">
        <v>1658</v>
      </c>
      <c r="B818" s="6">
        <v>45454</v>
      </c>
      <c r="C818" s="2">
        <v>39</v>
      </c>
      <c r="D818" s="2" t="s">
        <v>2028</v>
      </c>
      <c r="E818" s="2" t="s">
        <v>2027</v>
      </c>
    </row>
    <row r="819" spans="1:5" x14ac:dyDescent="0.2">
      <c r="A819" s="2" t="s">
        <v>1660</v>
      </c>
      <c r="B819" s="6">
        <v>45577</v>
      </c>
      <c r="C819" s="2">
        <v>48</v>
      </c>
      <c r="D819" s="2" t="s">
        <v>2025</v>
      </c>
      <c r="E819" s="2" t="s">
        <v>2027</v>
      </c>
    </row>
    <row r="820" spans="1:5" x14ac:dyDescent="0.2">
      <c r="A820" s="2" t="s">
        <v>1662</v>
      </c>
      <c r="B820" s="6">
        <v>45403</v>
      </c>
      <c r="C820" s="2">
        <v>37</v>
      </c>
      <c r="D820" s="2" t="s">
        <v>2028</v>
      </c>
      <c r="E820" s="2" t="s">
        <v>2026</v>
      </c>
    </row>
    <row r="821" spans="1:5" x14ac:dyDescent="0.2">
      <c r="A821" s="2" t="s">
        <v>1664</v>
      </c>
      <c r="B821" s="6">
        <v>45852</v>
      </c>
      <c r="C821" s="2">
        <v>29</v>
      </c>
      <c r="D821" s="2" t="s">
        <v>2028</v>
      </c>
      <c r="E821" s="2" t="s">
        <v>2030</v>
      </c>
    </row>
    <row r="822" spans="1:5" x14ac:dyDescent="0.2">
      <c r="A822" s="2" t="s">
        <v>1666</v>
      </c>
      <c r="B822" s="6">
        <v>45540</v>
      </c>
      <c r="C822" s="2">
        <v>55</v>
      </c>
      <c r="D822" s="2" t="s">
        <v>2025</v>
      </c>
      <c r="E822" s="2" t="s">
        <v>2026</v>
      </c>
    </row>
    <row r="823" spans="1:5" x14ac:dyDescent="0.2">
      <c r="A823" s="2" t="s">
        <v>1668</v>
      </c>
      <c r="B823" s="6">
        <v>45805</v>
      </c>
      <c r="C823" s="2">
        <v>40</v>
      </c>
      <c r="D823" s="2" t="s">
        <v>2028</v>
      </c>
      <c r="E823" s="2" t="s">
        <v>2026</v>
      </c>
    </row>
    <row r="824" spans="1:5" x14ac:dyDescent="0.2">
      <c r="A824" s="2" t="s">
        <v>1670</v>
      </c>
      <c r="B824" s="6">
        <v>45411</v>
      </c>
      <c r="C824" s="2">
        <v>25</v>
      </c>
      <c r="D824" s="2" t="s">
        <v>2025</v>
      </c>
      <c r="E824" s="2" t="s">
        <v>2027</v>
      </c>
    </row>
    <row r="825" spans="1:5" x14ac:dyDescent="0.2">
      <c r="A825" s="2" t="s">
        <v>1672</v>
      </c>
      <c r="B825" s="6">
        <v>45749</v>
      </c>
      <c r="C825" s="2">
        <v>27</v>
      </c>
      <c r="D825" s="2" t="s">
        <v>2028</v>
      </c>
      <c r="E825" s="2" t="s">
        <v>2026</v>
      </c>
    </row>
    <row r="826" spans="1:5" x14ac:dyDescent="0.2">
      <c r="A826" s="2" t="s">
        <v>1674</v>
      </c>
      <c r="B826" s="6">
        <v>45639</v>
      </c>
      <c r="C826" s="2">
        <v>43</v>
      </c>
      <c r="D826" s="2" t="s">
        <v>2025</v>
      </c>
      <c r="E826" s="2" t="s">
        <v>2026</v>
      </c>
    </row>
    <row r="827" spans="1:5" x14ac:dyDescent="0.2">
      <c r="A827" s="2" t="s">
        <v>1676</v>
      </c>
      <c r="B827" s="6">
        <v>45977</v>
      </c>
      <c r="C827" s="2">
        <v>34</v>
      </c>
      <c r="D827" s="2" t="s">
        <v>2028</v>
      </c>
      <c r="E827" s="2" t="s">
        <v>2026</v>
      </c>
    </row>
    <row r="828" spans="1:5" x14ac:dyDescent="0.2">
      <c r="A828" s="2" t="s">
        <v>1678</v>
      </c>
      <c r="B828" s="6">
        <v>45926</v>
      </c>
      <c r="C828" s="2">
        <v>48</v>
      </c>
      <c r="D828" s="2" t="s">
        <v>2025</v>
      </c>
      <c r="E828" s="2" t="s">
        <v>2027</v>
      </c>
    </row>
    <row r="829" spans="1:5" x14ac:dyDescent="0.2">
      <c r="A829" s="2" t="s">
        <v>1680</v>
      </c>
      <c r="B829" s="6">
        <v>45562</v>
      </c>
      <c r="C829" s="2">
        <v>21</v>
      </c>
      <c r="D829" s="2" t="s">
        <v>2025</v>
      </c>
      <c r="E829" s="2" t="s">
        <v>2026</v>
      </c>
    </row>
    <row r="830" spans="1:5" x14ac:dyDescent="0.2">
      <c r="A830" s="2" t="s">
        <v>1682</v>
      </c>
      <c r="B830" s="6">
        <v>45544</v>
      </c>
      <c r="C830" s="2">
        <v>26</v>
      </c>
      <c r="D830" s="2" t="s">
        <v>2025</v>
      </c>
      <c r="E830" s="2" t="s">
        <v>2027</v>
      </c>
    </row>
    <row r="831" spans="1:5" x14ac:dyDescent="0.2">
      <c r="A831" s="2" t="s">
        <v>1684</v>
      </c>
      <c r="B831" s="6">
        <v>45649</v>
      </c>
      <c r="C831" s="2">
        <v>31</v>
      </c>
      <c r="D831" s="2" t="s">
        <v>2028</v>
      </c>
      <c r="E831" s="2" t="s">
        <v>2026</v>
      </c>
    </row>
    <row r="832" spans="1:5" x14ac:dyDescent="0.2">
      <c r="A832" s="2" t="s">
        <v>1686</v>
      </c>
      <c r="B832" s="6">
        <v>45777</v>
      </c>
      <c r="C832" s="2">
        <v>54</v>
      </c>
      <c r="D832" s="2" t="s">
        <v>2028</v>
      </c>
      <c r="E832" s="2" t="s">
        <v>2026</v>
      </c>
    </row>
    <row r="833" spans="1:5" x14ac:dyDescent="0.2">
      <c r="A833" s="2" t="s">
        <v>1688</v>
      </c>
      <c r="B833" s="6">
        <v>45806</v>
      </c>
      <c r="C833" s="2">
        <v>49</v>
      </c>
      <c r="D833" s="2" t="s">
        <v>2025</v>
      </c>
      <c r="E833" s="2" t="s">
        <v>2027</v>
      </c>
    </row>
    <row r="834" spans="1:5" x14ac:dyDescent="0.2">
      <c r="A834" s="2" t="s">
        <v>1690</v>
      </c>
      <c r="B834" s="6">
        <v>45976</v>
      </c>
      <c r="C834" s="2">
        <v>47</v>
      </c>
      <c r="D834" s="2" t="s">
        <v>2025</v>
      </c>
      <c r="E834" s="2" t="s">
        <v>2030</v>
      </c>
    </row>
    <row r="835" spans="1:5" x14ac:dyDescent="0.2">
      <c r="A835" s="2" t="s">
        <v>1692</v>
      </c>
      <c r="B835" s="6">
        <v>45789</v>
      </c>
      <c r="C835" s="2">
        <v>23</v>
      </c>
      <c r="D835" s="2" t="s">
        <v>2029</v>
      </c>
      <c r="E835" s="2" t="s">
        <v>2027</v>
      </c>
    </row>
    <row r="836" spans="1:5" x14ac:dyDescent="0.2">
      <c r="A836" s="2" t="s">
        <v>1694</v>
      </c>
      <c r="B836" s="6">
        <v>45502</v>
      </c>
      <c r="C836" s="2">
        <v>43</v>
      </c>
      <c r="D836" s="2" t="s">
        <v>2025</v>
      </c>
      <c r="E836" s="2" t="s">
        <v>2027</v>
      </c>
    </row>
    <row r="837" spans="1:5" x14ac:dyDescent="0.2">
      <c r="A837" s="2" t="s">
        <v>1696</v>
      </c>
      <c r="B837" s="6">
        <v>45726</v>
      </c>
      <c r="C837" s="2">
        <v>28</v>
      </c>
      <c r="D837" s="2" t="s">
        <v>2025</v>
      </c>
      <c r="E837" s="2" t="s">
        <v>2027</v>
      </c>
    </row>
    <row r="838" spans="1:5" x14ac:dyDescent="0.2">
      <c r="A838" s="2" t="s">
        <v>1698</v>
      </c>
      <c r="B838" s="6">
        <v>45446</v>
      </c>
      <c r="C838" s="2">
        <v>26</v>
      </c>
      <c r="D838" s="2" t="s">
        <v>2025</v>
      </c>
      <c r="E838" s="2" t="s">
        <v>2027</v>
      </c>
    </row>
    <row r="839" spans="1:5" x14ac:dyDescent="0.2">
      <c r="A839" s="2" t="s">
        <v>1700</v>
      </c>
      <c r="B839" s="6">
        <v>45793</v>
      </c>
      <c r="C839" s="2">
        <v>52</v>
      </c>
      <c r="D839" s="2" t="s">
        <v>2025</v>
      </c>
      <c r="E839" s="2" t="s">
        <v>2027</v>
      </c>
    </row>
    <row r="840" spans="1:5" x14ac:dyDescent="0.2">
      <c r="A840" s="2" t="s">
        <v>1702</v>
      </c>
      <c r="B840" s="6">
        <v>45697</v>
      </c>
      <c r="C840" s="2">
        <v>44</v>
      </c>
      <c r="D840" s="2" t="s">
        <v>2028</v>
      </c>
      <c r="E840" s="2" t="s">
        <v>2027</v>
      </c>
    </row>
    <row r="841" spans="1:5" x14ac:dyDescent="0.2">
      <c r="A841" s="2" t="s">
        <v>1704</v>
      </c>
      <c r="B841" s="6">
        <v>45661</v>
      </c>
      <c r="C841" s="2">
        <v>21</v>
      </c>
      <c r="D841" s="2" t="s">
        <v>2028</v>
      </c>
      <c r="E841" s="2" t="s">
        <v>2026</v>
      </c>
    </row>
    <row r="842" spans="1:5" x14ac:dyDescent="0.2">
      <c r="A842" s="2" t="s">
        <v>1706</v>
      </c>
      <c r="B842" s="6">
        <v>45387</v>
      </c>
      <c r="C842" s="2">
        <v>29</v>
      </c>
      <c r="D842" s="2" t="s">
        <v>2028</v>
      </c>
      <c r="E842" s="2" t="s">
        <v>2027</v>
      </c>
    </row>
    <row r="843" spans="1:5" x14ac:dyDescent="0.2">
      <c r="A843" s="2" t="s">
        <v>1708</v>
      </c>
      <c r="B843" s="6">
        <v>45983</v>
      </c>
      <c r="C843" s="2">
        <v>37</v>
      </c>
      <c r="D843" s="2" t="s">
        <v>2028</v>
      </c>
      <c r="E843" s="2" t="s">
        <v>2027</v>
      </c>
    </row>
    <row r="844" spans="1:5" x14ac:dyDescent="0.2">
      <c r="A844" s="2" t="s">
        <v>1710</v>
      </c>
      <c r="B844" s="6">
        <v>45649</v>
      </c>
      <c r="C844" s="2">
        <v>27</v>
      </c>
      <c r="D844" s="2" t="s">
        <v>2028</v>
      </c>
      <c r="E844" s="2" t="s">
        <v>2027</v>
      </c>
    </row>
    <row r="845" spans="1:5" x14ac:dyDescent="0.2">
      <c r="A845" s="2" t="s">
        <v>1712</v>
      </c>
      <c r="B845" s="6">
        <v>45562</v>
      </c>
      <c r="C845" s="2">
        <v>44</v>
      </c>
      <c r="D845" s="2" t="s">
        <v>2025</v>
      </c>
      <c r="E845" s="2" t="s">
        <v>2027</v>
      </c>
    </row>
    <row r="846" spans="1:5" x14ac:dyDescent="0.2">
      <c r="A846" s="2" t="s">
        <v>1714</v>
      </c>
      <c r="B846" s="6">
        <v>45499</v>
      </c>
      <c r="C846" s="2">
        <v>36</v>
      </c>
      <c r="D846" s="2" t="s">
        <v>2028</v>
      </c>
      <c r="E846" s="2" t="s">
        <v>2027</v>
      </c>
    </row>
    <row r="847" spans="1:5" x14ac:dyDescent="0.2">
      <c r="A847" s="2" t="s">
        <v>1716</v>
      </c>
      <c r="B847" s="6">
        <v>45661</v>
      </c>
      <c r="C847" s="2">
        <v>20</v>
      </c>
      <c r="D847" s="2" t="s">
        <v>2028</v>
      </c>
      <c r="E847" s="2" t="s">
        <v>2027</v>
      </c>
    </row>
    <row r="848" spans="1:5" x14ac:dyDescent="0.2">
      <c r="A848" s="2" t="s">
        <v>1718</v>
      </c>
      <c r="B848" s="6">
        <v>45854</v>
      </c>
      <c r="C848" s="2">
        <v>37</v>
      </c>
      <c r="D848" s="2" t="s">
        <v>2028</v>
      </c>
      <c r="E848" s="2" t="s">
        <v>2027</v>
      </c>
    </row>
    <row r="849" spans="1:5" x14ac:dyDescent="0.2">
      <c r="A849" s="2" t="s">
        <v>1720</v>
      </c>
      <c r="B849" s="6">
        <v>45605</v>
      </c>
      <c r="C849" s="2">
        <v>51</v>
      </c>
      <c r="D849" s="2" t="s">
        <v>2025</v>
      </c>
      <c r="E849" s="2" t="s">
        <v>2027</v>
      </c>
    </row>
    <row r="850" spans="1:5" x14ac:dyDescent="0.2">
      <c r="A850" s="2" t="s">
        <v>1722</v>
      </c>
      <c r="B850" s="6">
        <v>45480</v>
      </c>
      <c r="C850" s="2">
        <v>18</v>
      </c>
      <c r="D850" s="2" t="s">
        <v>2025</v>
      </c>
      <c r="E850" s="2" t="s">
        <v>2027</v>
      </c>
    </row>
    <row r="851" spans="1:5" x14ac:dyDescent="0.2">
      <c r="A851" s="2" t="s">
        <v>1724</v>
      </c>
      <c r="B851" s="6">
        <v>45494</v>
      </c>
      <c r="C851" s="2">
        <v>29</v>
      </c>
      <c r="D851" s="2" t="s">
        <v>2025</v>
      </c>
      <c r="E851" s="2" t="s">
        <v>2027</v>
      </c>
    </row>
    <row r="852" spans="1:5" x14ac:dyDescent="0.2">
      <c r="A852" s="2" t="s">
        <v>1726</v>
      </c>
      <c r="B852" s="6">
        <v>45942</v>
      </c>
      <c r="C852" s="2">
        <v>53</v>
      </c>
      <c r="D852" s="2" t="s">
        <v>2028</v>
      </c>
      <c r="E852" s="2" t="s">
        <v>2026</v>
      </c>
    </row>
    <row r="853" spans="1:5" x14ac:dyDescent="0.2">
      <c r="A853" s="2" t="s">
        <v>1728</v>
      </c>
      <c r="B853" s="6">
        <v>45350</v>
      </c>
      <c r="C853" s="2">
        <v>36</v>
      </c>
      <c r="D853" s="2" t="s">
        <v>2025</v>
      </c>
      <c r="E853" s="2" t="s">
        <v>2030</v>
      </c>
    </row>
    <row r="854" spans="1:5" x14ac:dyDescent="0.2">
      <c r="A854" s="2" t="s">
        <v>1730</v>
      </c>
      <c r="B854" s="6">
        <v>45893</v>
      </c>
      <c r="C854" s="2">
        <v>54</v>
      </c>
      <c r="D854" s="2" t="s">
        <v>2028</v>
      </c>
      <c r="E854" s="2" t="s">
        <v>2026</v>
      </c>
    </row>
    <row r="855" spans="1:5" x14ac:dyDescent="0.2">
      <c r="A855" s="2" t="s">
        <v>1732</v>
      </c>
      <c r="B855" s="6">
        <v>45669</v>
      </c>
      <c r="C855" s="2">
        <v>23</v>
      </c>
      <c r="D855" s="2" t="s">
        <v>2028</v>
      </c>
      <c r="E855" s="2" t="s">
        <v>2027</v>
      </c>
    </row>
    <row r="856" spans="1:5" x14ac:dyDescent="0.2">
      <c r="A856" s="2" t="s">
        <v>1734</v>
      </c>
      <c r="B856" s="6">
        <v>45804</v>
      </c>
      <c r="C856" s="2">
        <v>46</v>
      </c>
      <c r="D856" s="2" t="s">
        <v>2028</v>
      </c>
      <c r="E856" s="2" t="s">
        <v>2027</v>
      </c>
    </row>
    <row r="857" spans="1:5" x14ac:dyDescent="0.2">
      <c r="A857" s="2" t="s">
        <v>1736</v>
      </c>
      <c r="B857" s="6">
        <v>45662</v>
      </c>
      <c r="C857" s="2">
        <v>42</v>
      </c>
      <c r="D857" s="2" t="s">
        <v>2025</v>
      </c>
      <c r="E857" s="2" t="s">
        <v>2027</v>
      </c>
    </row>
    <row r="858" spans="1:5" x14ac:dyDescent="0.2">
      <c r="A858" s="2" t="s">
        <v>1738</v>
      </c>
      <c r="B858" s="6">
        <v>45672</v>
      </c>
      <c r="C858" s="2">
        <v>20</v>
      </c>
      <c r="D858" s="2" t="s">
        <v>2028</v>
      </c>
      <c r="E858" s="2" t="s">
        <v>2027</v>
      </c>
    </row>
    <row r="859" spans="1:5" x14ac:dyDescent="0.2">
      <c r="A859" s="2" t="s">
        <v>1740</v>
      </c>
      <c r="B859" s="6">
        <v>45666</v>
      </c>
      <c r="C859" s="2">
        <v>51</v>
      </c>
      <c r="D859" s="2" t="s">
        <v>2025</v>
      </c>
      <c r="E859" s="2" t="s">
        <v>2026</v>
      </c>
    </row>
    <row r="860" spans="1:5" x14ac:dyDescent="0.2">
      <c r="A860" s="2" t="s">
        <v>1742</v>
      </c>
      <c r="B860" s="6">
        <v>45577</v>
      </c>
      <c r="C860" s="2">
        <v>45</v>
      </c>
      <c r="D860" s="2" t="s">
        <v>2025</v>
      </c>
      <c r="E860" s="2" t="s">
        <v>2026</v>
      </c>
    </row>
    <row r="861" spans="1:5" x14ac:dyDescent="0.2">
      <c r="A861" s="2" t="s">
        <v>1744</v>
      </c>
      <c r="B861" s="6">
        <v>45434</v>
      </c>
      <c r="C861" s="2">
        <v>23</v>
      </c>
      <c r="D861" s="2" t="s">
        <v>2028</v>
      </c>
      <c r="E861" s="2" t="s">
        <v>2027</v>
      </c>
    </row>
    <row r="862" spans="1:5" x14ac:dyDescent="0.2">
      <c r="A862" s="2" t="s">
        <v>1746</v>
      </c>
      <c r="B862" s="6">
        <v>45484</v>
      </c>
      <c r="C862" s="2">
        <v>40</v>
      </c>
      <c r="D862" s="2" t="s">
        <v>2028</v>
      </c>
      <c r="E862" s="2" t="s">
        <v>2027</v>
      </c>
    </row>
    <row r="863" spans="1:5" x14ac:dyDescent="0.2">
      <c r="A863" s="2" t="s">
        <v>1748</v>
      </c>
      <c r="B863" s="6">
        <v>45562</v>
      </c>
      <c r="C863" s="2">
        <v>51</v>
      </c>
      <c r="D863" s="2" t="s">
        <v>2025</v>
      </c>
      <c r="E863" s="2" t="s">
        <v>2026</v>
      </c>
    </row>
    <row r="864" spans="1:5" x14ac:dyDescent="0.2">
      <c r="A864" s="2" t="s">
        <v>1750</v>
      </c>
      <c r="B864" s="6">
        <v>45825</v>
      </c>
      <c r="C864" s="2">
        <v>43</v>
      </c>
      <c r="D864" s="2" t="s">
        <v>2028</v>
      </c>
      <c r="E864" s="2" t="s">
        <v>2027</v>
      </c>
    </row>
    <row r="865" spans="1:5" x14ac:dyDescent="0.2">
      <c r="A865" s="2" t="s">
        <v>1752</v>
      </c>
      <c r="B865" s="6">
        <v>45762</v>
      </c>
      <c r="C865" s="2">
        <v>22</v>
      </c>
      <c r="D865" s="2" t="s">
        <v>2028</v>
      </c>
      <c r="E865" s="2" t="s">
        <v>2030</v>
      </c>
    </row>
    <row r="866" spans="1:5" x14ac:dyDescent="0.2">
      <c r="A866" s="2" t="s">
        <v>1754</v>
      </c>
      <c r="B866" s="6">
        <v>45380</v>
      </c>
      <c r="C866" s="2">
        <v>47</v>
      </c>
      <c r="D866" s="2" t="s">
        <v>2028</v>
      </c>
      <c r="E866" s="2" t="s">
        <v>2026</v>
      </c>
    </row>
    <row r="867" spans="1:5" x14ac:dyDescent="0.2">
      <c r="A867" s="2" t="s">
        <v>1756</v>
      </c>
      <c r="B867" s="6">
        <v>45836</v>
      </c>
      <c r="C867" s="2">
        <v>28</v>
      </c>
      <c r="D867" s="2" t="s">
        <v>2028</v>
      </c>
      <c r="E867" s="2" t="s">
        <v>2027</v>
      </c>
    </row>
    <row r="868" spans="1:5" x14ac:dyDescent="0.2">
      <c r="A868" s="2" t="s">
        <v>1758</v>
      </c>
      <c r="B868" s="6">
        <v>45677</v>
      </c>
      <c r="C868" s="2">
        <v>21</v>
      </c>
      <c r="D868" s="2" t="s">
        <v>2025</v>
      </c>
      <c r="E868" s="2" t="s">
        <v>2026</v>
      </c>
    </row>
    <row r="869" spans="1:5" x14ac:dyDescent="0.2">
      <c r="A869" s="2" t="s">
        <v>1760</v>
      </c>
      <c r="B869" s="6">
        <v>45524</v>
      </c>
      <c r="C869" s="2">
        <v>23</v>
      </c>
      <c r="D869" s="2" t="s">
        <v>2025</v>
      </c>
      <c r="E869" s="2" t="s">
        <v>2027</v>
      </c>
    </row>
    <row r="870" spans="1:5" x14ac:dyDescent="0.2">
      <c r="A870" s="2" t="s">
        <v>1762</v>
      </c>
      <c r="B870" s="6">
        <v>45822</v>
      </c>
      <c r="C870" s="2">
        <v>39</v>
      </c>
      <c r="D870" s="2" t="s">
        <v>2025</v>
      </c>
      <c r="E870" s="2" t="s">
        <v>2026</v>
      </c>
    </row>
    <row r="871" spans="1:5" x14ac:dyDescent="0.2">
      <c r="A871" s="2" t="s">
        <v>1764</v>
      </c>
      <c r="B871" s="6">
        <v>45784</v>
      </c>
      <c r="C871" s="2">
        <v>52</v>
      </c>
      <c r="D871" s="2" t="s">
        <v>2025</v>
      </c>
      <c r="E871" s="2" t="s">
        <v>2027</v>
      </c>
    </row>
    <row r="872" spans="1:5" x14ac:dyDescent="0.2">
      <c r="A872" s="2" t="s">
        <v>1766</v>
      </c>
      <c r="B872" s="6">
        <v>45463</v>
      </c>
      <c r="C872" s="2">
        <v>34</v>
      </c>
      <c r="D872" s="2" t="s">
        <v>2028</v>
      </c>
      <c r="E872" s="2" t="s">
        <v>2027</v>
      </c>
    </row>
    <row r="873" spans="1:5" x14ac:dyDescent="0.2">
      <c r="A873" s="2" t="s">
        <v>1768</v>
      </c>
      <c r="B873" s="6">
        <v>45856</v>
      </c>
      <c r="C873" s="2">
        <v>24</v>
      </c>
      <c r="D873" s="2" t="s">
        <v>2025</v>
      </c>
      <c r="E873" s="2" t="s">
        <v>2026</v>
      </c>
    </row>
    <row r="874" spans="1:5" x14ac:dyDescent="0.2">
      <c r="A874" s="2" t="s">
        <v>1770</v>
      </c>
      <c r="B874" s="6">
        <v>45537</v>
      </c>
      <c r="C874" s="2">
        <v>26</v>
      </c>
      <c r="D874" s="2" t="s">
        <v>2025</v>
      </c>
      <c r="E874" s="2" t="s">
        <v>2027</v>
      </c>
    </row>
    <row r="875" spans="1:5" x14ac:dyDescent="0.2">
      <c r="A875" s="2" t="s">
        <v>1772</v>
      </c>
      <c r="B875" s="6">
        <v>45360</v>
      </c>
      <c r="C875" s="2">
        <v>32</v>
      </c>
      <c r="D875" s="2" t="s">
        <v>2025</v>
      </c>
      <c r="E875" s="2" t="s">
        <v>2026</v>
      </c>
    </row>
    <row r="876" spans="1:5" x14ac:dyDescent="0.2">
      <c r="A876" s="2" t="s">
        <v>1774</v>
      </c>
      <c r="B876" s="6">
        <v>45662</v>
      </c>
      <c r="C876" s="2">
        <v>25</v>
      </c>
      <c r="D876" s="2" t="s">
        <v>2025</v>
      </c>
      <c r="E876" s="2" t="s">
        <v>2027</v>
      </c>
    </row>
    <row r="877" spans="1:5" x14ac:dyDescent="0.2">
      <c r="A877" s="2" t="s">
        <v>1776</v>
      </c>
      <c r="B877" s="6">
        <v>45675</v>
      </c>
      <c r="C877" s="2">
        <v>21</v>
      </c>
      <c r="D877" s="2" t="s">
        <v>2028</v>
      </c>
      <c r="E877" s="2" t="s">
        <v>2027</v>
      </c>
    </row>
    <row r="878" spans="1:5" x14ac:dyDescent="0.2">
      <c r="A878" s="2" t="s">
        <v>1778</v>
      </c>
      <c r="B878" s="6">
        <v>45744</v>
      </c>
      <c r="C878" s="2">
        <v>27</v>
      </c>
      <c r="D878" s="2" t="s">
        <v>2028</v>
      </c>
      <c r="E878" s="2" t="s">
        <v>2027</v>
      </c>
    </row>
    <row r="879" spans="1:5" x14ac:dyDescent="0.2">
      <c r="A879" s="2" t="s">
        <v>1780</v>
      </c>
      <c r="B879" s="6">
        <v>45598</v>
      </c>
      <c r="C879" s="2">
        <v>18</v>
      </c>
      <c r="D879" s="2" t="s">
        <v>2028</v>
      </c>
      <c r="E879" s="2" t="s">
        <v>2027</v>
      </c>
    </row>
    <row r="880" spans="1:5" x14ac:dyDescent="0.2">
      <c r="A880" s="2" t="s">
        <v>1782</v>
      </c>
      <c r="B880" s="6">
        <v>45877</v>
      </c>
      <c r="C880" s="2">
        <v>45</v>
      </c>
      <c r="D880" s="2" t="s">
        <v>2025</v>
      </c>
      <c r="E880" s="2" t="s">
        <v>2030</v>
      </c>
    </row>
    <row r="881" spans="1:5" x14ac:dyDescent="0.2">
      <c r="A881" s="2" t="s">
        <v>1784</v>
      </c>
      <c r="B881" s="6">
        <v>45850</v>
      </c>
      <c r="C881" s="2">
        <v>38</v>
      </c>
      <c r="D881" s="2" t="s">
        <v>2028</v>
      </c>
      <c r="E881" s="2" t="s">
        <v>2030</v>
      </c>
    </row>
    <row r="882" spans="1:5" x14ac:dyDescent="0.2">
      <c r="A882" s="2" t="s">
        <v>1786</v>
      </c>
      <c r="B882" s="6">
        <v>45897</v>
      </c>
      <c r="C882" s="2">
        <v>50</v>
      </c>
      <c r="D882" s="2" t="s">
        <v>2028</v>
      </c>
      <c r="E882" s="2" t="s">
        <v>2027</v>
      </c>
    </row>
    <row r="883" spans="1:5" x14ac:dyDescent="0.2">
      <c r="A883" s="2" t="s">
        <v>1788</v>
      </c>
      <c r="B883" s="6">
        <v>45788</v>
      </c>
      <c r="C883" s="2">
        <v>26</v>
      </c>
      <c r="D883" s="2" t="s">
        <v>2028</v>
      </c>
      <c r="E883" s="2" t="s">
        <v>2027</v>
      </c>
    </row>
    <row r="884" spans="1:5" x14ac:dyDescent="0.2">
      <c r="A884" s="2" t="s">
        <v>1790</v>
      </c>
      <c r="B884" s="6">
        <v>45966</v>
      </c>
      <c r="C884" s="2">
        <v>23</v>
      </c>
      <c r="D884" s="2" t="s">
        <v>2025</v>
      </c>
      <c r="E884" s="2" t="s">
        <v>2026</v>
      </c>
    </row>
    <row r="885" spans="1:5" x14ac:dyDescent="0.2">
      <c r="A885" s="2" t="s">
        <v>1792</v>
      </c>
      <c r="B885" s="6">
        <v>45647</v>
      </c>
      <c r="C885" s="2">
        <v>34</v>
      </c>
      <c r="D885" s="2" t="s">
        <v>2028</v>
      </c>
      <c r="E885" s="2" t="s">
        <v>2027</v>
      </c>
    </row>
    <row r="886" spans="1:5" x14ac:dyDescent="0.2">
      <c r="A886" s="2" t="s">
        <v>1794</v>
      </c>
      <c r="B886" s="6">
        <v>45931</v>
      </c>
      <c r="C886" s="2">
        <v>30</v>
      </c>
      <c r="D886" s="2" t="s">
        <v>2028</v>
      </c>
      <c r="E886" s="2" t="s">
        <v>2027</v>
      </c>
    </row>
    <row r="887" spans="1:5" x14ac:dyDescent="0.2">
      <c r="A887" s="2" t="s">
        <v>1796</v>
      </c>
      <c r="B887" s="6">
        <v>45938</v>
      </c>
      <c r="C887" s="2">
        <v>49</v>
      </c>
      <c r="D887" s="2" t="s">
        <v>2028</v>
      </c>
      <c r="E887" s="2" t="s">
        <v>2026</v>
      </c>
    </row>
    <row r="888" spans="1:5" x14ac:dyDescent="0.2">
      <c r="A888" s="2" t="s">
        <v>1798</v>
      </c>
      <c r="B888" s="6">
        <v>45622</v>
      </c>
      <c r="C888" s="2">
        <v>47</v>
      </c>
      <c r="D888" s="2" t="s">
        <v>2025</v>
      </c>
      <c r="E888" s="2" t="s">
        <v>2030</v>
      </c>
    </row>
    <row r="889" spans="1:5" x14ac:dyDescent="0.2">
      <c r="A889" s="2" t="s">
        <v>1800</v>
      </c>
      <c r="B889" s="6">
        <v>45952</v>
      </c>
      <c r="C889" s="2">
        <v>54</v>
      </c>
      <c r="D889" s="2" t="s">
        <v>2028</v>
      </c>
      <c r="E889" s="2" t="s">
        <v>2027</v>
      </c>
    </row>
    <row r="890" spans="1:5" x14ac:dyDescent="0.2">
      <c r="A890" s="2" t="s">
        <v>1802</v>
      </c>
      <c r="B890" s="6">
        <v>45902</v>
      </c>
      <c r="C890" s="2">
        <v>35</v>
      </c>
      <c r="D890" s="2" t="s">
        <v>2025</v>
      </c>
      <c r="E890" s="2" t="s">
        <v>2027</v>
      </c>
    </row>
    <row r="891" spans="1:5" x14ac:dyDescent="0.2">
      <c r="A891" s="2" t="s">
        <v>1804</v>
      </c>
      <c r="B891" s="6">
        <v>45474</v>
      </c>
      <c r="C891" s="2">
        <v>51</v>
      </c>
      <c r="D891" s="2" t="s">
        <v>2025</v>
      </c>
      <c r="E891" s="2" t="s">
        <v>2027</v>
      </c>
    </row>
    <row r="892" spans="1:5" x14ac:dyDescent="0.2">
      <c r="A892" s="2" t="s">
        <v>1806</v>
      </c>
      <c r="B892" s="6">
        <v>45728</v>
      </c>
      <c r="C892" s="2">
        <v>26</v>
      </c>
      <c r="D892" s="2" t="s">
        <v>2028</v>
      </c>
      <c r="E892" s="2" t="s">
        <v>2027</v>
      </c>
    </row>
    <row r="893" spans="1:5" x14ac:dyDescent="0.2">
      <c r="A893" s="2" t="s">
        <v>1808</v>
      </c>
      <c r="B893" s="6">
        <v>45496</v>
      </c>
      <c r="C893" s="2">
        <v>27</v>
      </c>
      <c r="D893" s="2" t="s">
        <v>2028</v>
      </c>
      <c r="E893" s="2" t="s">
        <v>2027</v>
      </c>
    </row>
    <row r="894" spans="1:5" x14ac:dyDescent="0.2">
      <c r="A894" s="2" t="s">
        <v>1810</v>
      </c>
      <c r="B894" s="6">
        <v>45870</v>
      </c>
      <c r="C894" s="2">
        <v>29</v>
      </c>
      <c r="D894" s="2" t="s">
        <v>2025</v>
      </c>
      <c r="E894" s="2" t="s">
        <v>2027</v>
      </c>
    </row>
    <row r="895" spans="1:5" x14ac:dyDescent="0.2">
      <c r="A895" s="2" t="s">
        <v>1812</v>
      </c>
      <c r="B895" s="6">
        <v>45403</v>
      </c>
      <c r="C895" s="2">
        <v>51</v>
      </c>
      <c r="D895" s="2" t="s">
        <v>2025</v>
      </c>
      <c r="E895" s="2" t="s">
        <v>2027</v>
      </c>
    </row>
    <row r="896" spans="1:5" x14ac:dyDescent="0.2">
      <c r="A896" s="2" t="s">
        <v>1814</v>
      </c>
      <c r="B896" s="6">
        <v>45759</v>
      </c>
      <c r="C896" s="2">
        <v>46</v>
      </c>
      <c r="D896" s="2" t="s">
        <v>2025</v>
      </c>
      <c r="E896" s="2" t="s">
        <v>2030</v>
      </c>
    </row>
    <row r="897" spans="1:5" x14ac:dyDescent="0.2">
      <c r="A897" s="2" t="s">
        <v>1816</v>
      </c>
      <c r="B897" s="6">
        <v>45707</v>
      </c>
      <c r="C897" s="2">
        <v>18</v>
      </c>
      <c r="D897" s="2" t="s">
        <v>2028</v>
      </c>
      <c r="E897" s="2" t="s">
        <v>2027</v>
      </c>
    </row>
    <row r="898" spans="1:5" x14ac:dyDescent="0.2">
      <c r="A898" s="2" t="s">
        <v>1818</v>
      </c>
      <c r="B898" s="6">
        <v>45744</v>
      </c>
      <c r="C898" s="2">
        <v>51</v>
      </c>
      <c r="D898" s="2" t="s">
        <v>2028</v>
      </c>
      <c r="E898" s="2" t="s">
        <v>2027</v>
      </c>
    </row>
    <row r="899" spans="1:5" x14ac:dyDescent="0.2">
      <c r="A899" s="2" t="s">
        <v>1820</v>
      </c>
      <c r="B899" s="6">
        <v>45941</v>
      </c>
      <c r="C899" s="2">
        <v>38</v>
      </c>
      <c r="D899" s="2" t="s">
        <v>2028</v>
      </c>
      <c r="E899" s="2" t="s">
        <v>2026</v>
      </c>
    </row>
    <row r="900" spans="1:5" x14ac:dyDescent="0.2">
      <c r="A900" s="2" t="s">
        <v>1822</v>
      </c>
      <c r="B900" s="6">
        <v>45857</v>
      </c>
      <c r="C900" s="2">
        <v>52</v>
      </c>
      <c r="D900" s="2" t="s">
        <v>2028</v>
      </c>
      <c r="E900" s="2" t="s">
        <v>2027</v>
      </c>
    </row>
    <row r="901" spans="1:5" x14ac:dyDescent="0.2">
      <c r="A901" s="2" t="s">
        <v>1824</v>
      </c>
      <c r="B901" s="6">
        <v>45656</v>
      </c>
      <c r="C901" s="2">
        <v>45</v>
      </c>
      <c r="D901" s="2" t="s">
        <v>2025</v>
      </c>
      <c r="E901" s="2" t="s">
        <v>2027</v>
      </c>
    </row>
    <row r="902" spans="1:5" x14ac:dyDescent="0.2">
      <c r="A902" s="2" t="s">
        <v>1826</v>
      </c>
      <c r="B902" s="6">
        <v>45515</v>
      </c>
      <c r="C902" s="2">
        <v>50</v>
      </c>
      <c r="D902" s="2" t="s">
        <v>2028</v>
      </c>
      <c r="E902" s="2" t="s">
        <v>2027</v>
      </c>
    </row>
    <row r="903" spans="1:5" x14ac:dyDescent="0.2">
      <c r="A903" s="2" t="s">
        <v>1828</v>
      </c>
      <c r="B903" s="6">
        <v>45651</v>
      </c>
      <c r="C903" s="2">
        <v>39</v>
      </c>
      <c r="D903" s="2" t="s">
        <v>2028</v>
      </c>
      <c r="E903" s="2" t="s">
        <v>2026</v>
      </c>
    </row>
    <row r="904" spans="1:5" x14ac:dyDescent="0.2">
      <c r="A904" s="2" t="s">
        <v>1830</v>
      </c>
      <c r="B904" s="6">
        <v>45851</v>
      </c>
      <c r="C904" s="2">
        <v>30</v>
      </c>
      <c r="D904" s="2" t="s">
        <v>2025</v>
      </c>
      <c r="E904" s="2" t="s">
        <v>2027</v>
      </c>
    </row>
    <row r="905" spans="1:5" x14ac:dyDescent="0.2">
      <c r="A905" s="2" t="s">
        <v>1832</v>
      </c>
      <c r="B905" s="6">
        <v>45839</v>
      </c>
      <c r="C905" s="2">
        <v>54</v>
      </c>
      <c r="D905" s="2" t="s">
        <v>2025</v>
      </c>
      <c r="E905" s="2" t="s">
        <v>2026</v>
      </c>
    </row>
    <row r="906" spans="1:5" x14ac:dyDescent="0.2">
      <c r="A906" s="2" t="s">
        <v>1834</v>
      </c>
      <c r="B906" s="6">
        <v>45561</v>
      </c>
      <c r="C906" s="2">
        <v>19</v>
      </c>
      <c r="D906" s="2" t="s">
        <v>2025</v>
      </c>
      <c r="E906" s="2" t="s">
        <v>2027</v>
      </c>
    </row>
    <row r="907" spans="1:5" x14ac:dyDescent="0.2">
      <c r="A907" s="2" t="s">
        <v>1836</v>
      </c>
      <c r="B907" s="6">
        <v>45993</v>
      </c>
      <c r="C907" s="2">
        <v>41</v>
      </c>
      <c r="D907" s="2" t="s">
        <v>2028</v>
      </c>
      <c r="E907" s="2" t="s">
        <v>2027</v>
      </c>
    </row>
    <row r="908" spans="1:5" x14ac:dyDescent="0.2">
      <c r="A908" s="2" t="s">
        <v>1838</v>
      </c>
      <c r="B908" s="6">
        <v>45903</v>
      </c>
      <c r="C908" s="2">
        <v>49</v>
      </c>
      <c r="D908" s="2" t="s">
        <v>2028</v>
      </c>
      <c r="E908" s="2" t="s">
        <v>2026</v>
      </c>
    </row>
    <row r="909" spans="1:5" x14ac:dyDescent="0.2">
      <c r="A909" s="2" t="s">
        <v>1840</v>
      </c>
      <c r="B909" s="6">
        <v>45706</v>
      </c>
      <c r="C909" s="2">
        <v>27</v>
      </c>
      <c r="D909" s="2" t="s">
        <v>2025</v>
      </c>
      <c r="E909" s="2" t="s">
        <v>2027</v>
      </c>
    </row>
    <row r="910" spans="1:5" x14ac:dyDescent="0.2">
      <c r="A910" s="2" t="s">
        <v>1842</v>
      </c>
      <c r="B910" s="6">
        <v>45942</v>
      </c>
      <c r="C910" s="2">
        <v>43</v>
      </c>
      <c r="D910" s="2" t="s">
        <v>2025</v>
      </c>
      <c r="E910" s="2" t="s">
        <v>2026</v>
      </c>
    </row>
    <row r="911" spans="1:5" x14ac:dyDescent="0.2">
      <c r="A911" s="2" t="s">
        <v>1844</v>
      </c>
      <c r="B911" s="6">
        <v>45702</v>
      </c>
      <c r="C911" s="2">
        <v>41</v>
      </c>
      <c r="D911" s="2" t="s">
        <v>2028</v>
      </c>
      <c r="E911" s="2" t="s">
        <v>2030</v>
      </c>
    </row>
    <row r="912" spans="1:5" x14ac:dyDescent="0.2">
      <c r="A912" s="2" t="s">
        <v>1846</v>
      </c>
      <c r="B912" s="6">
        <v>45806</v>
      </c>
      <c r="C912" s="2">
        <v>19</v>
      </c>
      <c r="D912" s="2" t="s">
        <v>2028</v>
      </c>
      <c r="E912" s="2" t="s">
        <v>2027</v>
      </c>
    </row>
    <row r="913" spans="1:5" x14ac:dyDescent="0.2">
      <c r="A913" s="2" t="s">
        <v>1848</v>
      </c>
      <c r="B913" s="6">
        <v>45946</v>
      </c>
      <c r="C913" s="2">
        <v>53</v>
      </c>
      <c r="D913" s="2" t="s">
        <v>2025</v>
      </c>
      <c r="E913" s="2" t="s">
        <v>2030</v>
      </c>
    </row>
    <row r="914" spans="1:5" x14ac:dyDescent="0.2">
      <c r="A914" s="2" t="s">
        <v>1850</v>
      </c>
      <c r="B914" s="6">
        <v>45858</v>
      </c>
      <c r="C914" s="2">
        <v>20</v>
      </c>
      <c r="D914" s="2" t="s">
        <v>2028</v>
      </c>
      <c r="E914" s="2" t="s">
        <v>2026</v>
      </c>
    </row>
    <row r="915" spans="1:5" x14ac:dyDescent="0.2">
      <c r="A915" s="2" t="s">
        <v>1852</v>
      </c>
      <c r="B915" s="6">
        <v>45370</v>
      </c>
      <c r="C915" s="2">
        <v>23</v>
      </c>
      <c r="D915" s="2" t="s">
        <v>2028</v>
      </c>
      <c r="E915" s="2" t="s">
        <v>2027</v>
      </c>
    </row>
    <row r="916" spans="1:5" x14ac:dyDescent="0.2">
      <c r="A916" s="2" t="s">
        <v>1854</v>
      </c>
      <c r="B916" s="6">
        <v>45853</v>
      </c>
      <c r="C916" s="2">
        <v>19</v>
      </c>
      <c r="D916" s="2" t="s">
        <v>2028</v>
      </c>
      <c r="E916" s="2" t="s">
        <v>2027</v>
      </c>
    </row>
    <row r="917" spans="1:5" x14ac:dyDescent="0.2">
      <c r="A917" s="2" t="s">
        <v>1856</v>
      </c>
      <c r="B917" s="6">
        <v>45717</v>
      </c>
      <c r="C917" s="2">
        <v>31</v>
      </c>
      <c r="D917" s="2" t="s">
        <v>2028</v>
      </c>
      <c r="E917" s="2" t="s">
        <v>2027</v>
      </c>
    </row>
    <row r="918" spans="1:5" x14ac:dyDescent="0.2">
      <c r="A918" s="2" t="s">
        <v>1858</v>
      </c>
      <c r="B918" s="6">
        <v>45636</v>
      </c>
      <c r="C918" s="2">
        <v>52</v>
      </c>
      <c r="D918" s="2" t="s">
        <v>2025</v>
      </c>
      <c r="E918" s="2" t="s">
        <v>2026</v>
      </c>
    </row>
    <row r="919" spans="1:5" x14ac:dyDescent="0.2">
      <c r="A919" s="2" t="s">
        <v>1860</v>
      </c>
      <c r="B919" s="6">
        <v>45684</v>
      </c>
      <c r="C919" s="2">
        <v>25</v>
      </c>
      <c r="D919" s="2" t="s">
        <v>2028</v>
      </c>
      <c r="E919" s="2" t="s">
        <v>2027</v>
      </c>
    </row>
    <row r="920" spans="1:5" x14ac:dyDescent="0.2">
      <c r="A920" s="2" t="s">
        <v>1862</v>
      </c>
      <c r="B920" s="6">
        <v>45845</v>
      </c>
      <c r="C920" s="2">
        <v>30</v>
      </c>
      <c r="D920" s="2" t="s">
        <v>2028</v>
      </c>
      <c r="E920" s="2" t="s">
        <v>2027</v>
      </c>
    </row>
    <row r="921" spans="1:5" x14ac:dyDescent="0.2">
      <c r="A921" s="2" t="s">
        <v>1864</v>
      </c>
      <c r="B921" s="6">
        <v>45672</v>
      </c>
      <c r="C921" s="2">
        <v>26</v>
      </c>
      <c r="D921" s="2" t="s">
        <v>2025</v>
      </c>
      <c r="E921" s="2" t="s">
        <v>2027</v>
      </c>
    </row>
    <row r="922" spans="1:5" x14ac:dyDescent="0.2">
      <c r="A922" s="2" t="s">
        <v>1866</v>
      </c>
      <c r="B922" s="6">
        <v>45648</v>
      </c>
      <c r="C922" s="2">
        <v>19</v>
      </c>
      <c r="D922" s="2" t="s">
        <v>2025</v>
      </c>
      <c r="E922" s="2" t="s">
        <v>2027</v>
      </c>
    </row>
    <row r="923" spans="1:5" x14ac:dyDescent="0.2">
      <c r="A923" s="2" t="s">
        <v>1868</v>
      </c>
      <c r="B923" s="6">
        <v>45811</v>
      </c>
      <c r="C923" s="2">
        <v>49</v>
      </c>
      <c r="D923" s="2" t="s">
        <v>2028</v>
      </c>
      <c r="E923" s="2" t="s">
        <v>2030</v>
      </c>
    </row>
    <row r="924" spans="1:5" x14ac:dyDescent="0.2">
      <c r="A924" s="2" t="s">
        <v>1870</v>
      </c>
      <c r="B924" s="6">
        <v>45648</v>
      </c>
      <c r="C924" s="2">
        <v>37</v>
      </c>
      <c r="D924" s="2" t="s">
        <v>2028</v>
      </c>
      <c r="E924" s="2" t="s">
        <v>2027</v>
      </c>
    </row>
    <row r="925" spans="1:5" x14ac:dyDescent="0.2">
      <c r="A925" s="2" t="s">
        <v>1872</v>
      </c>
      <c r="B925" s="6">
        <v>45801</v>
      </c>
      <c r="C925" s="2">
        <v>54</v>
      </c>
      <c r="D925" s="2" t="s">
        <v>2025</v>
      </c>
      <c r="E925" s="2" t="s">
        <v>2027</v>
      </c>
    </row>
    <row r="926" spans="1:5" x14ac:dyDescent="0.2">
      <c r="A926" s="2" t="s">
        <v>1874</v>
      </c>
      <c r="B926" s="6">
        <v>45347</v>
      </c>
      <c r="C926" s="2">
        <v>22</v>
      </c>
      <c r="D926" s="2" t="s">
        <v>2028</v>
      </c>
      <c r="E926" s="2" t="s">
        <v>2027</v>
      </c>
    </row>
    <row r="927" spans="1:5" x14ac:dyDescent="0.2">
      <c r="A927" s="2" t="s">
        <v>1876</v>
      </c>
      <c r="B927" s="6">
        <v>45967</v>
      </c>
      <c r="C927" s="2">
        <v>20</v>
      </c>
      <c r="D927" s="2" t="s">
        <v>2025</v>
      </c>
      <c r="E927" s="2" t="s">
        <v>2026</v>
      </c>
    </row>
    <row r="928" spans="1:5" x14ac:dyDescent="0.2">
      <c r="A928" s="2" t="s">
        <v>1878</v>
      </c>
      <c r="B928" s="6">
        <v>45401</v>
      </c>
      <c r="C928" s="2">
        <v>35</v>
      </c>
      <c r="D928" s="2" t="s">
        <v>2025</v>
      </c>
      <c r="E928" s="2" t="s">
        <v>2027</v>
      </c>
    </row>
    <row r="929" spans="1:5" x14ac:dyDescent="0.2">
      <c r="A929" s="2" t="s">
        <v>1880</v>
      </c>
      <c r="B929" s="6">
        <v>45642</v>
      </c>
      <c r="C929" s="2">
        <v>28</v>
      </c>
      <c r="D929" s="2" t="s">
        <v>2028</v>
      </c>
      <c r="E929" s="2" t="s">
        <v>2026</v>
      </c>
    </row>
    <row r="930" spans="1:5" x14ac:dyDescent="0.2">
      <c r="A930" s="2" t="s">
        <v>1882</v>
      </c>
      <c r="B930" s="6">
        <v>45868</v>
      </c>
      <c r="C930" s="2">
        <v>46</v>
      </c>
      <c r="D930" s="2" t="s">
        <v>2025</v>
      </c>
      <c r="E930" s="2" t="s">
        <v>2027</v>
      </c>
    </row>
    <row r="931" spans="1:5" x14ac:dyDescent="0.2">
      <c r="A931" s="2" t="s">
        <v>1884</v>
      </c>
      <c r="B931" s="6">
        <v>45408</v>
      </c>
      <c r="C931" s="2">
        <v>46</v>
      </c>
      <c r="D931" s="2" t="s">
        <v>2028</v>
      </c>
      <c r="E931" s="2" t="s">
        <v>2026</v>
      </c>
    </row>
    <row r="932" spans="1:5" x14ac:dyDescent="0.2">
      <c r="A932" s="2" t="s">
        <v>1886</v>
      </c>
      <c r="B932" s="6">
        <v>45494</v>
      </c>
      <c r="C932" s="2">
        <v>32</v>
      </c>
      <c r="D932" s="2" t="s">
        <v>2025</v>
      </c>
      <c r="E932" s="2" t="s">
        <v>2026</v>
      </c>
    </row>
    <row r="933" spans="1:5" x14ac:dyDescent="0.2">
      <c r="A933" s="2" t="s">
        <v>1888</v>
      </c>
      <c r="B933" s="6">
        <v>45745</v>
      </c>
      <c r="C933" s="2">
        <v>23</v>
      </c>
      <c r="D933" s="2" t="s">
        <v>2025</v>
      </c>
      <c r="E933" s="2" t="s">
        <v>2026</v>
      </c>
    </row>
    <row r="934" spans="1:5" x14ac:dyDescent="0.2">
      <c r="A934" s="2" t="s">
        <v>1890</v>
      </c>
      <c r="B934" s="6">
        <v>45733</v>
      </c>
      <c r="C934" s="2">
        <v>28</v>
      </c>
      <c r="D934" s="2" t="s">
        <v>2025</v>
      </c>
      <c r="E934" s="2" t="s">
        <v>2027</v>
      </c>
    </row>
    <row r="935" spans="1:5" x14ac:dyDescent="0.2">
      <c r="A935" s="2" t="s">
        <v>1892</v>
      </c>
      <c r="B935" s="6">
        <v>45923</v>
      </c>
      <c r="C935" s="2">
        <v>33</v>
      </c>
      <c r="D935" s="2" t="s">
        <v>2028</v>
      </c>
      <c r="E935" s="2" t="s">
        <v>2027</v>
      </c>
    </row>
    <row r="936" spans="1:5" x14ac:dyDescent="0.2">
      <c r="A936" s="2" t="s">
        <v>1894</v>
      </c>
      <c r="B936" s="6">
        <v>45393</v>
      </c>
      <c r="C936" s="2">
        <v>52</v>
      </c>
      <c r="D936" s="2" t="s">
        <v>2028</v>
      </c>
      <c r="E936" s="2" t="s">
        <v>2027</v>
      </c>
    </row>
    <row r="937" spans="1:5" x14ac:dyDescent="0.2">
      <c r="A937" s="2" t="s">
        <v>1896</v>
      </c>
      <c r="B937" s="6">
        <v>45435</v>
      </c>
      <c r="C937" s="2">
        <v>28</v>
      </c>
      <c r="D937" s="2" t="s">
        <v>2025</v>
      </c>
      <c r="E937" s="2" t="s">
        <v>2026</v>
      </c>
    </row>
    <row r="938" spans="1:5" x14ac:dyDescent="0.2">
      <c r="A938" s="2" t="s">
        <v>1898</v>
      </c>
      <c r="B938" s="6">
        <v>45369</v>
      </c>
      <c r="C938" s="2">
        <v>47</v>
      </c>
      <c r="D938" s="2" t="s">
        <v>2028</v>
      </c>
      <c r="E938" s="2" t="s">
        <v>2026</v>
      </c>
    </row>
    <row r="939" spans="1:5" x14ac:dyDescent="0.2">
      <c r="A939" s="2" t="s">
        <v>1900</v>
      </c>
      <c r="B939" s="6">
        <v>45740</v>
      </c>
      <c r="C939" s="2">
        <v>42</v>
      </c>
      <c r="D939" s="2" t="s">
        <v>2028</v>
      </c>
      <c r="E939" s="2" t="s">
        <v>2026</v>
      </c>
    </row>
    <row r="940" spans="1:5" x14ac:dyDescent="0.2">
      <c r="A940" s="2" t="s">
        <v>1902</v>
      </c>
      <c r="B940" s="6">
        <v>45595</v>
      </c>
      <c r="C940" s="2">
        <v>51</v>
      </c>
      <c r="D940" s="2" t="s">
        <v>2028</v>
      </c>
      <c r="E940" s="2" t="s">
        <v>2027</v>
      </c>
    </row>
    <row r="941" spans="1:5" x14ac:dyDescent="0.2">
      <c r="A941" s="2" t="s">
        <v>1904</v>
      </c>
      <c r="B941" s="6">
        <v>45624</v>
      </c>
      <c r="C941" s="2">
        <v>48</v>
      </c>
      <c r="D941" s="2" t="s">
        <v>2028</v>
      </c>
      <c r="E941" s="2" t="s">
        <v>2027</v>
      </c>
    </row>
    <row r="942" spans="1:5" x14ac:dyDescent="0.2">
      <c r="A942" s="2" t="s">
        <v>1906</v>
      </c>
      <c r="B942" s="6">
        <v>45738</v>
      </c>
      <c r="C942" s="2">
        <v>24</v>
      </c>
      <c r="D942" s="2" t="s">
        <v>2028</v>
      </c>
      <c r="E942" s="2" t="s">
        <v>2027</v>
      </c>
    </row>
    <row r="943" spans="1:5" x14ac:dyDescent="0.2">
      <c r="A943" s="2" t="s">
        <v>1908</v>
      </c>
      <c r="B943" s="6">
        <v>45779</v>
      </c>
      <c r="C943" s="2">
        <v>51</v>
      </c>
      <c r="D943" s="2" t="s">
        <v>2025</v>
      </c>
      <c r="E943" s="2" t="s">
        <v>2026</v>
      </c>
    </row>
    <row r="944" spans="1:5" x14ac:dyDescent="0.2">
      <c r="A944" s="2" t="s">
        <v>1910</v>
      </c>
      <c r="B944" s="6">
        <v>45861</v>
      </c>
      <c r="C944" s="2">
        <v>47</v>
      </c>
      <c r="D944" s="2" t="s">
        <v>2028</v>
      </c>
      <c r="E944" s="2" t="s">
        <v>2027</v>
      </c>
    </row>
    <row r="945" spans="1:5" x14ac:dyDescent="0.2">
      <c r="A945" s="2" t="s">
        <v>1912</v>
      </c>
      <c r="B945" s="6">
        <v>45590</v>
      </c>
      <c r="C945" s="2">
        <v>28</v>
      </c>
      <c r="D945" s="2" t="s">
        <v>2029</v>
      </c>
      <c r="E945" s="2" t="s">
        <v>2026</v>
      </c>
    </row>
    <row r="946" spans="1:5" x14ac:dyDescent="0.2">
      <c r="A946" s="2" t="s">
        <v>1914</v>
      </c>
      <c r="B946" s="6">
        <v>45992</v>
      </c>
      <c r="C946" s="2">
        <v>27</v>
      </c>
      <c r="D946" s="2" t="s">
        <v>2025</v>
      </c>
      <c r="E946" s="2" t="s">
        <v>2027</v>
      </c>
    </row>
    <row r="947" spans="1:5" x14ac:dyDescent="0.2">
      <c r="A947" s="2" t="s">
        <v>1916</v>
      </c>
      <c r="B947" s="6">
        <v>45881</v>
      </c>
      <c r="C947" s="2">
        <v>49</v>
      </c>
      <c r="D947" s="2" t="s">
        <v>2025</v>
      </c>
      <c r="E947" s="2" t="s">
        <v>2026</v>
      </c>
    </row>
    <row r="948" spans="1:5" x14ac:dyDescent="0.2">
      <c r="A948" s="2" t="s">
        <v>1918</v>
      </c>
      <c r="B948" s="6">
        <v>45919</v>
      </c>
      <c r="C948" s="2">
        <v>41</v>
      </c>
      <c r="D948" s="2" t="s">
        <v>2028</v>
      </c>
      <c r="E948" s="2" t="s">
        <v>2026</v>
      </c>
    </row>
    <row r="949" spans="1:5" x14ac:dyDescent="0.2">
      <c r="A949" s="2" t="s">
        <v>1920</v>
      </c>
      <c r="B949" s="6">
        <v>45415</v>
      </c>
      <c r="C949" s="2">
        <v>36</v>
      </c>
      <c r="D949" s="2" t="s">
        <v>2025</v>
      </c>
      <c r="E949" s="2" t="s">
        <v>2027</v>
      </c>
    </row>
    <row r="950" spans="1:5" x14ac:dyDescent="0.2">
      <c r="A950" s="2" t="s">
        <v>1922</v>
      </c>
      <c r="B950" s="6">
        <v>45668</v>
      </c>
      <c r="C950" s="2">
        <v>40</v>
      </c>
      <c r="D950" s="2" t="s">
        <v>2028</v>
      </c>
      <c r="E950" s="2" t="s">
        <v>2026</v>
      </c>
    </row>
    <row r="951" spans="1:5" x14ac:dyDescent="0.2">
      <c r="A951" s="2" t="s">
        <v>1924</v>
      </c>
      <c r="B951" s="6">
        <v>45876</v>
      </c>
      <c r="C951" s="2">
        <v>26</v>
      </c>
      <c r="D951" s="2" t="s">
        <v>2028</v>
      </c>
      <c r="E951" s="2" t="s">
        <v>2026</v>
      </c>
    </row>
    <row r="952" spans="1:5" x14ac:dyDescent="0.2">
      <c r="A952" s="2" t="s">
        <v>1926</v>
      </c>
      <c r="B952" s="6">
        <v>45950</v>
      </c>
      <c r="C952" s="2">
        <v>41</v>
      </c>
      <c r="D952" s="2" t="s">
        <v>2025</v>
      </c>
      <c r="E952" s="2" t="s">
        <v>2026</v>
      </c>
    </row>
    <row r="953" spans="1:5" x14ac:dyDescent="0.2">
      <c r="A953" s="2" t="s">
        <v>1928</v>
      </c>
      <c r="B953" s="6">
        <v>45836</v>
      </c>
      <c r="C953" s="2">
        <v>38</v>
      </c>
      <c r="D953" s="2" t="s">
        <v>2028</v>
      </c>
      <c r="E953" s="2" t="s">
        <v>2027</v>
      </c>
    </row>
    <row r="954" spans="1:5" x14ac:dyDescent="0.2">
      <c r="A954" s="2" t="s">
        <v>1930</v>
      </c>
      <c r="B954" s="6">
        <v>45457</v>
      </c>
      <c r="C954" s="2">
        <v>39</v>
      </c>
      <c r="D954" s="2" t="s">
        <v>2028</v>
      </c>
      <c r="E954" s="2" t="s">
        <v>2030</v>
      </c>
    </row>
    <row r="955" spans="1:5" x14ac:dyDescent="0.2">
      <c r="A955" s="2" t="s">
        <v>1932</v>
      </c>
      <c r="B955" s="6">
        <v>45709</v>
      </c>
      <c r="C955" s="2">
        <v>40</v>
      </c>
      <c r="D955" s="2" t="s">
        <v>2028</v>
      </c>
      <c r="E955" s="2" t="s">
        <v>2026</v>
      </c>
    </row>
    <row r="956" spans="1:5" x14ac:dyDescent="0.2">
      <c r="A956" s="2" t="s">
        <v>1935</v>
      </c>
      <c r="B956" s="6">
        <v>45765</v>
      </c>
      <c r="C956" s="2">
        <v>55</v>
      </c>
      <c r="D956" s="2" t="s">
        <v>2025</v>
      </c>
      <c r="E956" s="2" t="s">
        <v>2027</v>
      </c>
    </row>
    <row r="957" spans="1:5" x14ac:dyDescent="0.2">
      <c r="A957" s="2" t="s">
        <v>1937</v>
      </c>
      <c r="B957" s="6">
        <v>45389</v>
      </c>
      <c r="C957" s="2">
        <v>48</v>
      </c>
      <c r="D957" s="2" t="s">
        <v>2028</v>
      </c>
      <c r="E957" s="2" t="s">
        <v>2027</v>
      </c>
    </row>
    <row r="958" spans="1:5" x14ac:dyDescent="0.2">
      <c r="A958" s="2" t="s">
        <v>1939</v>
      </c>
      <c r="B958" s="6">
        <v>45947</v>
      </c>
      <c r="C958" s="2">
        <v>20</v>
      </c>
      <c r="D958" s="2" t="s">
        <v>2025</v>
      </c>
      <c r="E958" s="2" t="s">
        <v>2027</v>
      </c>
    </row>
    <row r="959" spans="1:5" x14ac:dyDescent="0.2">
      <c r="A959" s="2" t="s">
        <v>1941</v>
      </c>
      <c r="B959" s="6">
        <v>45790</v>
      </c>
      <c r="C959" s="2">
        <v>32</v>
      </c>
      <c r="D959" s="2" t="s">
        <v>2028</v>
      </c>
      <c r="E959" s="2" t="s">
        <v>2027</v>
      </c>
    </row>
    <row r="960" spans="1:5" x14ac:dyDescent="0.2">
      <c r="A960" s="2" t="s">
        <v>1943</v>
      </c>
      <c r="B960" s="6">
        <v>45887</v>
      </c>
      <c r="C960" s="2">
        <v>53</v>
      </c>
      <c r="D960" s="2" t="s">
        <v>2028</v>
      </c>
      <c r="E960" s="2" t="s">
        <v>2026</v>
      </c>
    </row>
    <row r="961" spans="1:5" x14ac:dyDescent="0.2">
      <c r="A961" s="2" t="s">
        <v>1945</v>
      </c>
      <c r="B961" s="6">
        <v>45443</v>
      </c>
      <c r="C961" s="2">
        <v>29</v>
      </c>
      <c r="D961" s="2" t="s">
        <v>2028</v>
      </c>
      <c r="E961" s="2" t="s">
        <v>2027</v>
      </c>
    </row>
    <row r="962" spans="1:5" x14ac:dyDescent="0.2">
      <c r="A962" s="2" t="s">
        <v>1947</v>
      </c>
      <c r="B962" s="6">
        <v>45359</v>
      </c>
      <c r="C962" s="2">
        <v>22</v>
      </c>
      <c r="D962" s="2" t="s">
        <v>2025</v>
      </c>
      <c r="E962" s="2" t="s">
        <v>2030</v>
      </c>
    </row>
    <row r="963" spans="1:5" x14ac:dyDescent="0.2">
      <c r="A963" s="2" t="s">
        <v>1949</v>
      </c>
      <c r="B963" s="6">
        <v>45527</v>
      </c>
      <c r="C963" s="2">
        <v>39</v>
      </c>
      <c r="D963" s="2" t="s">
        <v>2028</v>
      </c>
      <c r="E963" s="2" t="s">
        <v>2026</v>
      </c>
    </row>
    <row r="964" spans="1:5" x14ac:dyDescent="0.2">
      <c r="A964" s="2" t="s">
        <v>1951</v>
      </c>
      <c r="B964" s="6">
        <v>45903</v>
      </c>
      <c r="C964" s="2">
        <v>32</v>
      </c>
      <c r="D964" s="2" t="s">
        <v>2028</v>
      </c>
      <c r="E964" s="2" t="s">
        <v>2027</v>
      </c>
    </row>
    <row r="965" spans="1:5" x14ac:dyDescent="0.2">
      <c r="A965" s="2" t="s">
        <v>1953</v>
      </c>
      <c r="B965" s="6">
        <v>45403</v>
      </c>
      <c r="C965" s="2">
        <v>34</v>
      </c>
      <c r="D965" s="2" t="s">
        <v>2025</v>
      </c>
      <c r="E965" s="2" t="s">
        <v>2027</v>
      </c>
    </row>
    <row r="966" spans="1:5" x14ac:dyDescent="0.2">
      <c r="A966" s="2" t="s">
        <v>1955</v>
      </c>
      <c r="B966" s="6">
        <v>45647</v>
      </c>
      <c r="C966" s="2">
        <v>52</v>
      </c>
      <c r="D966" s="2" t="s">
        <v>2025</v>
      </c>
      <c r="E966" s="2" t="s">
        <v>2027</v>
      </c>
    </row>
    <row r="967" spans="1:5" x14ac:dyDescent="0.2">
      <c r="A967" s="2" t="s">
        <v>1957</v>
      </c>
      <c r="B967" s="6">
        <v>45925</v>
      </c>
      <c r="C967" s="2">
        <v>25</v>
      </c>
      <c r="D967" s="2" t="s">
        <v>2028</v>
      </c>
      <c r="E967" s="2" t="s">
        <v>2026</v>
      </c>
    </row>
    <row r="968" spans="1:5" x14ac:dyDescent="0.2">
      <c r="A968" s="2" t="s">
        <v>1959</v>
      </c>
      <c r="B968" s="6">
        <v>45629</v>
      </c>
      <c r="C968" s="2">
        <v>27</v>
      </c>
      <c r="D968" s="2" t="s">
        <v>2025</v>
      </c>
      <c r="E968" s="2" t="s">
        <v>2027</v>
      </c>
    </row>
    <row r="969" spans="1:5" x14ac:dyDescent="0.2">
      <c r="A969" s="2" t="s">
        <v>1961</v>
      </c>
      <c r="B969" s="6">
        <v>45420</v>
      </c>
      <c r="C969" s="2">
        <v>22</v>
      </c>
      <c r="D969" s="2" t="s">
        <v>2025</v>
      </c>
      <c r="E969" s="2" t="s">
        <v>2027</v>
      </c>
    </row>
    <row r="970" spans="1:5" x14ac:dyDescent="0.2">
      <c r="A970" s="2" t="s">
        <v>1963</v>
      </c>
      <c r="B970" s="6">
        <v>45978</v>
      </c>
      <c r="C970" s="2">
        <v>44</v>
      </c>
      <c r="D970" s="2" t="s">
        <v>2025</v>
      </c>
      <c r="E970" s="2" t="s">
        <v>2030</v>
      </c>
    </row>
    <row r="971" spans="1:5" x14ac:dyDescent="0.2">
      <c r="A971" s="2" t="s">
        <v>1965</v>
      </c>
      <c r="B971" s="6">
        <v>45900</v>
      </c>
      <c r="C971" s="2">
        <v>32</v>
      </c>
      <c r="D971" s="2" t="s">
        <v>2028</v>
      </c>
      <c r="E971" s="2" t="s">
        <v>2026</v>
      </c>
    </row>
    <row r="972" spans="1:5" x14ac:dyDescent="0.2">
      <c r="A972" s="2" t="s">
        <v>1967</v>
      </c>
      <c r="B972" s="6">
        <v>45693</v>
      </c>
      <c r="C972" s="2">
        <v>54</v>
      </c>
      <c r="D972" s="2" t="s">
        <v>2028</v>
      </c>
      <c r="E972" s="2" t="s">
        <v>2030</v>
      </c>
    </row>
    <row r="973" spans="1:5" x14ac:dyDescent="0.2">
      <c r="A973" s="2" t="s">
        <v>1969</v>
      </c>
      <c r="B973" s="6">
        <v>45754</v>
      </c>
      <c r="C973" s="2">
        <v>26</v>
      </c>
      <c r="D973" s="2" t="s">
        <v>2028</v>
      </c>
      <c r="E973" s="2" t="s">
        <v>2027</v>
      </c>
    </row>
    <row r="974" spans="1:5" x14ac:dyDescent="0.2">
      <c r="A974" s="2" t="s">
        <v>1971</v>
      </c>
      <c r="B974" s="6">
        <v>45941</v>
      </c>
      <c r="C974" s="2">
        <v>27</v>
      </c>
      <c r="D974" s="2" t="s">
        <v>2028</v>
      </c>
      <c r="E974" s="2" t="s">
        <v>2027</v>
      </c>
    </row>
    <row r="975" spans="1:5" x14ac:dyDescent="0.2">
      <c r="A975" s="2" t="s">
        <v>1973</v>
      </c>
      <c r="B975" s="6">
        <v>45654</v>
      </c>
      <c r="C975" s="2">
        <v>29</v>
      </c>
      <c r="D975" s="2" t="s">
        <v>2025</v>
      </c>
      <c r="E975" s="2" t="s">
        <v>2026</v>
      </c>
    </row>
    <row r="976" spans="1:5" x14ac:dyDescent="0.2">
      <c r="A976" s="2" t="s">
        <v>1975</v>
      </c>
      <c r="B976" s="6">
        <v>45480</v>
      </c>
      <c r="C976" s="2">
        <v>23</v>
      </c>
      <c r="D976" s="2" t="s">
        <v>2029</v>
      </c>
      <c r="E976" s="2" t="s">
        <v>2027</v>
      </c>
    </row>
    <row r="977" spans="1:5" x14ac:dyDescent="0.2">
      <c r="A977" s="2" t="s">
        <v>1977</v>
      </c>
      <c r="B977" s="6">
        <v>45541</v>
      </c>
      <c r="C977" s="2">
        <v>45</v>
      </c>
      <c r="D977" s="2" t="s">
        <v>2028</v>
      </c>
      <c r="E977" s="2" t="s">
        <v>2027</v>
      </c>
    </row>
    <row r="978" spans="1:5" x14ac:dyDescent="0.2">
      <c r="A978" s="2" t="s">
        <v>1979</v>
      </c>
      <c r="B978" s="6">
        <v>45617</v>
      </c>
      <c r="C978" s="2">
        <v>21</v>
      </c>
      <c r="D978" s="2" t="s">
        <v>2028</v>
      </c>
      <c r="E978" s="2" t="s">
        <v>2027</v>
      </c>
    </row>
    <row r="979" spans="1:5" x14ac:dyDescent="0.2">
      <c r="A979" s="2" t="s">
        <v>1981</v>
      </c>
      <c r="B979" s="6">
        <v>45467</v>
      </c>
      <c r="C979" s="2">
        <v>32</v>
      </c>
      <c r="D979" s="2" t="s">
        <v>2028</v>
      </c>
      <c r="E979" s="2" t="s">
        <v>2027</v>
      </c>
    </row>
    <row r="980" spans="1:5" x14ac:dyDescent="0.2">
      <c r="A980" s="2" t="s">
        <v>1983</v>
      </c>
      <c r="B980" s="6">
        <v>45799</v>
      </c>
      <c r="C980" s="2">
        <v>18</v>
      </c>
      <c r="D980" s="2" t="s">
        <v>2025</v>
      </c>
      <c r="E980" s="2" t="s">
        <v>2027</v>
      </c>
    </row>
    <row r="981" spans="1:5" x14ac:dyDescent="0.2">
      <c r="A981" s="2" t="s">
        <v>1985</v>
      </c>
      <c r="B981" s="6">
        <v>45457</v>
      </c>
      <c r="C981" s="2">
        <v>43</v>
      </c>
      <c r="D981" s="2" t="s">
        <v>2025</v>
      </c>
      <c r="E981" s="2" t="s">
        <v>2026</v>
      </c>
    </row>
    <row r="982" spans="1:5" x14ac:dyDescent="0.2">
      <c r="A982" s="2" t="s">
        <v>1987</v>
      </c>
      <c r="B982" s="6">
        <v>45632</v>
      </c>
      <c r="C982" s="2">
        <v>26</v>
      </c>
      <c r="D982" s="2" t="s">
        <v>2028</v>
      </c>
      <c r="E982" s="2" t="s">
        <v>2027</v>
      </c>
    </row>
    <row r="983" spans="1:5" x14ac:dyDescent="0.2">
      <c r="A983" s="2" t="s">
        <v>1989</v>
      </c>
      <c r="B983" s="6">
        <v>45962</v>
      </c>
      <c r="C983" s="2">
        <v>40</v>
      </c>
      <c r="D983" s="2" t="s">
        <v>2028</v>
      </c>
      <c r="E983" s="2" t="s">
        <v>2027</v>
      </c>
    </row>
    <row r="984" spans="1:5" x14ac:dyDescent="0.2">
      <c r="A984" s="2" t="s">
        <v>1991</v>
      </c>
      <c r="B984" s="6">
        <v>45656</v>
      </c>
      <c r="C984" s="2">
        <v>25</v>
      </c>
      <c r="D984" s="2" t="s">
        <v>2025</v>
      </c>
      <c r="E984" s="2" t="s">
        <v>2027</v>
      </c>
    </row>
    <row r="985" spans="1:5" x14ac:dyDescent="0.2">
      <c r="A985" s="2" t="s">
        <v>1993</v>
      </c>
      <c r="B985" s="6">
        <v>45400</v>
      </c>
      <c r="C985" s="2">
        <v>38</v>
      </c>
      <c r="D985" s="2" t="s">
        <v>2025</v>
      </c>
      <c r="E985" s="2" t="s">
        <v>2030</v>
      </c>
    </row>
    <row r="986" spans="1:5" x14ac:dyDescent="0.2">
      <c r="A986" s="2" t="s">
        <v>1995</v>
      </c>
      <c r="B986" s="6">
        <v>45908</v>
      </c>
      <c r="C986" s="2">
        <v>30</v>
      </c>
      <c r="D986" s="2" t="s">
        <v>2025</v>
      </c>
      <c r="E986" s="2" t="s">
        <v>2027</v>
      </c>
    </row>
    <row r="987" spans="1:5" x14ac:dyDescent="0.2">
      <c r="A987" s="2" t="s">
        <v>1997</v>
      </c>
      <c r="B987" s="6">
        <v>45781</v>
      </c>
      <c r="C987" s="2">
        <v>44</v>
      </c>
      <c r="D987" s="2" t="s">
        <v>2028</v>
      </c>
      <c r="E987" s="2" t="s">
        <v>2027</v>
      </c>
    </row>
    <row r="988" spans="1:5" x14ac:dyDescent="0.2">
      <c r="A988" s="2" t="s">
        <v>1999</v>
      </c>
      <c r="B988" s="6">
        <v>45678</v>
      </c>
      <c r="C988" s="2">
        <v>25</v>
      </c>
      <c r="D988" s="2" t="s">
        <v>2025</v>
      </c>
      <c r="E988" s="2" t="s">
        <v>2026</v>
      </c>
    </row>
    <row r="989" spans="1:5" x14ac:dyDescent="0.2">
      <c r="A989" s="2" t="s">
        <v>2001</v>
      </c>
      <c r="B989" s="6">
        <v>45416</v>
      </c>
      <c r="C989" s="2">
        <v>50</v>
      </c>
      <c r="D989" s="2" t="s">
        <v>2025</v>
      </c>
      <c r="E989" s="2" t="s">
        <v>2026</v>
      </c>
    </row>
    <row r="990" spans="1:5" x14ac:dyDescent="0.2">
      <c r="A990" s="2" t="s">
        <v>2003</v>
      </c>
      <c r="B990" s="6">
        <v>45578</v>
      </c>
      <c r="C990" s="2">
        <v>43</v>
      </c>
      <c r="D990" s="2" t="s">
        <v>2025</v>
      </c>
      <c r="E990" s="2" t="s">
        <v>2030</v>
      </c>
    </row>
    <row r="991" spans="1:5" x14ac:dyDescent="0.2">
      <c r="A991" s="2" t="s">
        <v>2005</v>
      </c>
      <c r="B991" s="6">
        <v>45518</v>
      </c>
      <c r="C991" s="2">
        <v>48</v>
      </c>
      <c r="D991" s="2" t="s">
        <v>2025</v>
      </c>
      <c r="E991" s="2" t="s">
        <v>2027</v>
      </c>
    </row>
    <row r="992" spans="1:5" x14ac:dyDescent="0.2">
      <c r="A992" s="2" t="s">
        <v>2007</v>
      </c>
      <c r="B992" s="6">
        <v>45851</v>
      </c>
      <c r="C992" s="2">
        <v>27</v>
      </c>
      <c r="D992" s="2" t="s">
        <v>2025</v>
      </c>
      <c r="E992" s="2" t="s">
        <v>2027</v>
      </c>
    </row>
    <row r="993" spans="1:5" x14ac:dyDescent="0.2">
      <c r="A993" s="2" t="s">
        <v>2009</v>
      </c>
      <c r="B993" s="6">
        <v>45933</v>
      </c>
      <c r="C993" s="2">
        <v>20</v>
      </c>
      <c r="D993" s="2" t="s">
        <v>2025</v>
      </c>
      <c r="E993" s="2" t="s">
        <v>2027</v>
      </c>
    </row>
    <row r="994" spans="1:5" x14ac:dyDescent="0.2">
      <c r="A994" s="2" t="s">
        <v>2011</v>
      </c>
      <c r="B994" s="6">
        <v>45701</v>
      </c>
      <c r="C994" s="2">
        <v>37</v>
      </c>
      <c r="D994" s="2" t="s">
        <v>2025</v>
      </c>
      <c r="E994" s="2" t="s">
        <v>2027</v>
      </c>
    </row>
    <row r="995" spans="1:5" x14ac:dyDescent="0.2">
      <c r="A995" s="2" t="s">
        <v>2013</v>
      </c>
      <c r="B995" s="6">
        <v>45617</v>
      </c>
      <c r="C995" s="2">
        <v>36</v>
      </c>
      <c r="D995" s="2" t="s">
        <v>2025</v>
      </c>
      <c r="E995" s="2" t="s">
        <v>2027</v>
      </c>
    </row>
    <row r="996" spans="1:5" x14ac:dyDescent="0.2">
      <c r="A996" s="2" t="s">
        <v>2015</v>
      </c>
      <c r="B996" s="6">
        <v>45977</v>
      </c>
      <c r="C996" s="2">
        <v>43</v>
      </c>
      <c r="D996" s="2" t="s">
        <v>2028</v>
      </c>
      <c r="E996" s="2" t="s">
        <v>2027</v>
      </c>
    </row>
    <row r="997" spans="1:5" x14ac:dyDescent="0.2">
      <c r="A997" s="2" t="s">
        <v>2017</v>
      </c>
      <c r="B997" s="6">
        <v>45389</v>
      </c>
      <c r="C997" s="2">
        <v>26</v>
      </c>
      <c r="D997" s="2" t="s">
        <v>2029</v>
      </c>
      <c r="E997" s="2" t="s">
        <v>2030</v>
      </c>
    </row>
    <row r="998" spans="1:5" x14ac:dyDescent="0.2">
      <c r="A998" s="2" t="s">
        <v>2019</v>
      </c>
      <c r="B998" s="6">
        <v>45744</v>
      </c>
      <c r="C998" s="2">
        <v>27</v>
      </c>
      <c r="D998" s="2" t="s">
        <v>2028</v>
      </c>
      <c r="E998" s="2" t="s">
        <v>2027</v>
      </c>
    </row>
  </sheetData>
  <mergeCells count="1">
    <mergeCell ref="A1:E2"/>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BA54-5230-8F42-9F71-B6C8E703AA8A}">
  <dimension ref="A1:D162"/>
  <sheetViews>
    <sheetView workbookViewId="0">
      <selection activeCell="F6" sqref="F6"/>
    </sheetView>
  </sheetViews>
  <sheetFormatPr baseColWidth="10" defaultRowHeight="16" x14ac:dyDescent="0.2"/>
  <cols>
    <col min="1" max="1" width="14.5" bestFit="1" customWidth="1"/>
    <col min="2" max="2" width="10.6640625" bestFit="1" customWidth="1"/>
    <col min="3" max="3" width="14.6640625" bestFit="1" customWidth="1"/>
    <col min="4" max="4" width="16.1640625" bestFit="1" customWidth="1"/>
  </cols>
  <sheetData>
    <row r="1" spans="1:4" x14ac:dyDescent="0.2">
      <c r="A1" s="22" t="s">
        <v>2199</v>
      </c>
      <c r="B1" s="22"/>
      <c r="C1" s="22"/>
      <c r="D1" s="22"/>
    </row>
    <row r="2" spans="1:4" x14ac:dyDescent="0.2">
      <c r="A2" s="22"/>
      <c r="B2" s="22"/>
      <c r="C2" s="22"/>
      <c r="D2" s="22"/>
    </row>
    <row r="3" spans="1:4" x14ac:dyDescent="0.2">
      <c r="A3" s="4" t="s">
        <v>2031</v>
      </c>
      <c r="B3" s="4" t="s">
        <v>2</v>
      </c>
      <c r="C3" s="4" t="s">
        <v>2032</v>
      </c>
      <c r="D3" s="4" t="s">
        <v>2033</v>
      </c>
    </row>
    <row r="4" spans="1:4" x14ac:dyDescent="0.2">
      <c r="A4" s="2" t="s">
        <v>2034</v>
      </c>
      <c r="B4" s="2" t="s">
        <v>10</v>
      </c>
      <c r="C4" s="2">
        <v>4.07</v>
      </c>
      <c r="D4" s="6">
        <v>45794</v>
      </c>
    </row>
    <row r="5" spans="1:4" x14ac:dyDescent="0.2">
      <c r="A5" s="2" t="s">
        <v>2035</v>
      </c>
      <c r="B5" s="2" t="s">
        <v>10</v>
      </c>
      <c r="C5" s="2">
        <v>4.0599999999999996</v>
      </c>
      <c r="D5" s="6">
        <v>45900</v>
      </c>
    </row>
    <row r="6" spans="1:4" x14ac:dyDescent="0.2">
      <c r="A6" s="2" t="s">
        <v>2036</v>
      </c>
      <c r="B6" s="2" t="s">
        <v>10</v>
      </c>
      <c r="C6" s="2">
        <v>4.95</v>
      </c>
      <c r="D6" s="6">
        <v>46036</v>
      </c>
    </row>
    <row r="7" spans="1:4" x14ac:dyDescent="0.2">
      <c r="A7" s="2" t="s">
        <v>2037</v>
      </c>
      <c r="B7" s="2" t="s">
        <v>10</v>
      </c>
      <c r="C7" s="2">
        <v>4.03</v>
      </c>
      <c r="D7" s="6">
        <v>46014</v>
      </c>
    </row>
    <row r="8" spans="1:4" x14ac:dyDescent="0.2">
      <c r="A8" s="2" t="s">
        <v>2038</v>
      </c>
      <c r="B8" s="2" t="s">
        <v>10</v>
      </c>
      <c r="C8" s="2">
        <v>4.8</v>
      </c>
      <c r="D8" s="6">
        <v>45825</v>
      </c>
    </row>
    <row r="9" spans="1:4" x14ac:dyDescent="0.2">
      <c r="A9" s="2" t="s">
        <v>2039</v>
      </c>
      <c r="B9" s="2" t="s">
        <v>10</v>
      </c>
      <c r="C9" s="2">
        <v>4.47</v>
      </c>
      <c r="D9" s="6">
        <v>46093</v>
      </c>
    </row>
    <row r="10" spans="1:4" x14ac:dyDescent="0.2">
      <c r="A10" s="2" t="s">
        <v>2040</v>
      </c>
      <c r="B10" s="2" t="s">
        <v>10</v>
      </c>
      <c r="C10" s="2">
        <v>4.6900000000000004</v>
      </c>
      <c r="D10" s="6">
        <v>45720</v>
      </c>
    </row>
    <row r="11" spans="1:4" x14ac:dyDescent="0.2">
      <c r="A11" s="2" t="s">
        <v>2041</v>
      </c>
      <c r="B11" s="2" t="s">
        <v>10</v>
      </c>
      <c r="C11" s="2">
        <v>4.8499999999999996</v>
      </c>
      <c r="D11" s="6">
        <v>45876</v>
      </c>
    </row>
    <row r="12" spans="1:4" x14ac:dyDescent="0.2">
      <c r="A12" s="2" t="s">
        <v>2042</v>
      </c>
      <c r="B12" s="2" t="s">
        <v>10</v>
      </c>
      <c r="C12" s="2">
        <v>4.8099999999999996</v>
      </c>
      <c r="D12" s="6">
        <v>45952</v>
      </c>
    </row>
    <row r="13" spans="1:4" x14ac:dyDescent="0.2">
      <c r="A13" s="2" t="s">
        <v>2043</v>
      </c>
      <c r="B13" s="2" t="s">
        <v>10</v>
      </c>
      <c r="C13" s="2">
        <v>3.95</v>
      </c>
      <c r="D13" s="6">
        <v>45888</v>
      </c>
    </row>
    <row r="14" spans="1:4" x14ac:dyDescent="0.2">
      <c r="A14" s="2" t="s">
        <v>2044</v>
      </c>
      <c r="B14" s="2" t="s">
        <v>10</v>
      </c>
      <c r="C14" s="2">
        <v>4.8600000000000003</v>
      </c>
      <c r="D14" s="6">
        <v>46107</v>
      </c>
    </row>
    <row r="15" spans="1:4" x14ac:dyDescent="0.2">
      <c r="A15" s="2" t="s">
        <v>2045</v>
      </c>
      <c r="B15" s="2" t="s">
        <v>10</v>
      </c>
      <c r="C15" s="2">
        <v>4.3</v>
      </c>
      <c r="D15" s="6">
        <v>46080</v>
      </c>
    </row>
    <row r="16" spans="1:4" x14ac:dyDescent="0.2">
      <c r="A16" s="2" t="s">
        <v>2046</v>
      </c>
      <c r="B16" s="2" t="s">
        <v>10</v>
      </c>
      <c r="C16" s="2">
        <v>4.49</v>
      </c>
      <c r="D16" s="6">
        <v>45833</v>
      </c>
    </row>
    <row r="17" spans="1:4" x14ac:dyDescent="0.2">
      <c r="A17" s="2" t="s">
        <v>2047</v>
      </c>
      <c r="B17" s="2" t="s">
        <v>10</v>
      </c>
      <c r="C17" s="2">
        <v>4.2300000000000004</v>
      </c>
      <c r="D17" s="6">
        <v>45709</v>
      </c>
    </row>
    <row r="18" spans="1:4" x14ac:dyDescent="0.2">
      <c r="A18" s="2" t="s">
        <v>2048</v>
      </c>
      <c r="B18" s="2" t="s">
        <v>10</v>
      </c>
      <c r="C18" s="2">
        <v>4.47</v>
      </c>
      <c r="D18" s="6">
        <v>45854</v>
      </c>
    </row>
    <row r="19" spans="1:4" x14ac:dyDescent="0.2">
      <c r="A19" s="2" t="s">
        <v>2049</v>
      </c>
      <c r="B19" s="2" t="s">
        <v>19</v>
      </c>
      <c r="C19" s="2">
        <v>4.97</v>
      </c>
      <c r="D19" s="6">
        <v>45941</v>
      </c>
    </row>
    <row r="20" spans="1:4" x14ac:dyDescent="0.2">
      <c r="A20" s="2" t="s">
        <v>2050</v>
      </c>
      <c r="B20" s="2" t="s">
        <v>19</v>
      </c>
      <c r="C20" s="2">
        <v>4.05</v>
      </c>
      <c r="D20" s="6">
        <v>45702</v>
      </c>
    </row>
    <row r="21" spans="1:4" x14ac:dyDescent="0.2">
      <c r="A21" s="2" t="s">
        <v>2051</v>
      </c>
      <c r="B21" s="2" t="s">
        <v>19</v>
      </c>
      <c r="C21" s="2">
        <v>4.33</v>
      </c>
      <c r="D21" s="6">
        <v>45789</v>
      </c>
    </row>
    <row r="22" spans="1:4" x14ac:dyDescent="0.2">
      <c r="A22" s="2" t="s">
        <v>2052</v>
      </c>
      <c r="B22" s="2" t="s">
        <v>19</v>
      </c>
      <c r="C22" s="2">
        <v>4.59</v>
      </c>
      <c r="D22" s="6">
        <v>46028</v>
      </c>
    </row>
    <row r="23" spans="1:4" x14ac:dyDescent="0.2">
      <c r="A23" s="2" t="s">
        <v>2053</v>
      </c>
      <c r="B23" s="2" t="s">
        <v>19</v>
      </c>
      <c r="C23" s="2">
        <v>4.07</v>
      </c>
      <c r="D23" s="6">
        <v>45744</v>
      </c>
    </row>
    <row r="24" spans="1:4" x14ac:dyDescent="0.2">
      <c r="A24" s="2" t="s">
        <v>2054</v>
      </c>
      <c r="B24" s="2" t="s">
        <v>19</v>
      </c>
      <c r="C24" s="2">
        <v>4.63</v>
      </c>
      <c r="D24" s="6">
        <v>45917</v>
      </c>
    </row>
    <row r="25" spans="1:4" x14ac:dyDescent="0.2">
      <c r="A25" s="2" t="s">
        <v>2055</v>
      </c>
      <c r="B25" s="2" t="s">
        <v>19</v>
      </c>
      <c r="C25" s="2">
        <v>4.2</v>
      </c>
      <c r="D25" s="6">
        <v>45772</v>
      </c>
    </row>
    <row r="26" spans="1:4" x14ac:dyDescent="0.2">
      <c r="A26" s="2" t="s">
        <v>2056</v>
      </c>
      <c r="B26" s="2" t="s">
        <v>19</v>
      </c>
      <c r="C26" s="2">
        <v>3.81</v>
      </c>
      <c r="D26" s="6">
        <v>45845</v>
      </c>
    </row>
    <row r="27" spans="1:4" x14ac:dyDescent="0.2">
      <c r="A27" s="2" t="s">
        <v>2057</v>
      </c>
      <c r="B27" s="2" t="s">
        <v>19</v>
      </c>
      <c r="C27" s="2">
        <v>4.67</v>
      </c>
      <c r="D27" s="6">
        <v>45856</v>
      </c>
    </row>
    <row r="28" spans="1:4" x14ac:dyDescent="0.2">
      <c r="A28" s="2" t="s">
        <v>2058</v>
      </c>
      <c r="B28" s="2" t="s">
        <v>19</v>
      </c>
      <c r="C28" s="2">
        <v>4.25</v>
      </c>
      <c r="D28" s="6">
        <v>46058</v>
      </c>
    </row>
    <row r="29" spans="1:4" x14ac:dyDescent="0.2">
      <c r="A29" s="2" t="s">
        <v>2059</v>
      </c>
      <c r="B29" s="2" t="s">
        <v>19</v>
      </c>
      <c r="C29" s="2">
        <v>4.8099999999999996</v>
      </c>
      <c r="D29" s="6">
        <v>45847</v>
      </c>
    </row>
    <row r="30" spans="1:4" x14ac:dyDescent="0.2">
      <c r="A30" s="2" t="s">
        <v>2060</v>
      </c>
      <c r="B30" s="2" t="s">
        <v>19</v>
      </c>
      <c r="C30" s="2">
        <v>4.1100000000000003</v>
      </c>
      <c r="D30" s="6">
        <v>45893</v>
      </c>
    </row>
    <row r="31" spans="1:4" x14ac:dyDescent="0.2">
      <c r="A31" s="2" t="s">
        <v>2061</v>
      </c>
      <c r="B31" s="2" t="s">
        <v>19</v>
      </c>
      <c r="C31" s="2">
        <v>4.28</v>
      </c>
      <c r="D31" s="6">
        <v>45943</v>
      </c>
    </row>
    <row r="32" spans="1:4" x14ac:dyDescent="0.2">
      <c r="A32" s="2" t="s">
        <v>2062</v>
      </c>
      <c r="B32" s="2" t="s">
        <v>19</v>
      </c>
      <c r="C32" s="2">
        <v>3.95</v>
      </c>
      <c r="D32" s="6">
        <v>45940</v>
      </c>
    </row>
    <row r="33" spans="1:4" x14ac:dyDescent="0.2">
      <c r="A33" s="2" t="s">
        <v>2063</v>
      </c>
      <c r="B33" s="2" t="s">
        <v>19</v>
      </c>
      <c r="C33" s="2">
        <v>4.59</v>
      </c>
      <c r="D33" s="6">
        <v>45735</v>
      </c>
    </row>
    <row r="34" spans="1:4" x14ac:dyDescent="0.2">
      <c r="A34" s="2" t="s">
        <v>2064</v>
      </c>
      <c r="B34" s="2" t="s">
        <v>19</v>
      </c>
      <c r="C34" s="2">
        <v>3.95</v>
      </c>
      <c r="D34" s="6">
        <v>45717</v>
      </c>
    </row>
    <row r="35" spans="1:4" x14ac:dyDescent="0.2">
      <c r="A35" s="2" t="s">
        <v>2065</v>
      </c>
      <c r="B35" s="2" t="s">
        <v>19</v>
      </c>
      <c r="C35" s="2">
        <v>4.88</v>
      </c>
      <c r="D35" s="6">
        <v>45803</v>
      </c>
    </row>
    <row r="36" spans="1:4" x14ac:dyDescent="0.2">
      <c r="A36" s="2" t="s">
        <v>2066</v>
      </c>
      <c r="B36" s="2" t="s">
        <v>19</v>
      </c>
      <c r="C36" s="2">
        <v>4.07</v>
      </c>
      <c r="D36" s="6">
        <v>45660</v>
      </c>
    </row>
    <row r="37" spans="1:4" x14ac:dyDescent="0.2">
      <c r="A37" s="2" t="s">
        <v>2067</v>
      </c>
      <c r="B37" s="2" t="s">
        <v>19</v>
      </c>
      <c r="C37" s="2">
        <v>4.72</v>
      </c>
      <c r="D37" s="6">
        <v>46034</v>
      </c>
    </row>
    <row r="38" spans="1:4" x14ac:dyDescent="0.2">
      <c r="A38" s="2" t="s">
        <v>2068</v>
      </c>
      <c r="B38" s="2" t="s">
        <v>19</v>
      </c>
      <c r="C38" s="2">
        <v>4.75</v>
      </c>
      <c r="D38" s="6">
        <v>45656</v>
      </c>
    </row>
    <row r="39" spans="1:4" x14ac:dyDescent="0.2">
      <c r="A39" s="2" t="s">
        <v>2069</v>
      </c>
      <c r="B39" s="2" t="s">
        <v>19</v>
      </c>
      <c r="C39" s="2">
        <v>4.82</v>
      </c>
      <c r="D39" s="6">
        <v>45716</v>
      </c>
    </row>
    <row r="40" spans="1:4" x14ac:dyDescent="0.2">
      <c r="A40" s="2" t="s">
        <v>2070</v>
      </c>
      <c r="B40" s="2" t="s">
        <v>19</v>
      </c>
      <c r="C40" s="2">
        <v>3.93</v>
      </c>
      <c r="D40" s="6">
        <v>46041</v>
      </c>
    </row>
    <row r="41" spans="1:4" x14ac:dyDescent="0.2">
      <c r="A41" s="2" t="s">
        <v>2071</v>
      </c>
      <c r="B41" s="2" t="s">
        <v>19</v>
      </c>
      <c r="C41" s="2">
        <v>4.5599999999999996</v>
      </c>
      <c r="D41" s="6">
        <v>45714</v>
      </c>
    </row>
    <row r="42" spans="1:4" x14ac:dyDescent="0.2">
      <c r="A42" s="2" t="s">
        <v>2072</v>
      </c>
      <c r="B42" s="2" t="s">
        <v>27</v>
      </c>
      <c r="C42" s="2">
        <v>4.7</v>
      </c>
      <c r="D42" s="6">
        <v>45844</v>
      </c>
    </row>
    <row r="43" spans="1:4" x14ac:dyDescent="0.2">
      <c r="A43" s="2" t="s">
        <v>2073</v>
      </c>
      <c r="B43" s="2" t="s">
        <v>27</v>
      </c>
      <c r="C43" s="2">
        <v>4.12</v>
      </c>
      <c r="D43" s="6">
        <v>45720</v>
      </c>
    </row>
    <row r="44" spans="1:4" x14ac:dyDescent="0.2">
      <c r="A44" s="2" t="s">
        <v>2074</v>
      </c>
      <c r="B44" s="2" t="s">
        <v>27</v>
      </c>
      <c r="C44" s="2">
        <v>4.5</v>
      </c>
      <c r="D44" s="6">
        <v>45723</v>
      </c>
    </row>
    <row r="45" spans="1:4" x14ac:dyDescent="0.2">
      <c r="A45" s="2" t="s">
        <v>2075</v>
      </c>
      <c r="B45" s="2" t="s">
        <v>27</v>
      </c>
      <c r="C45" s="2">
        <v>4.49</v>
      </c>
      <c r="D45" s="6">
        <v>46089</v>
      </c>
    </row>
    <row r="46" spans="1:4" x14ac:dyDescent="0.2">
      <c r="A46" s="2" t="s">
        <v>2076</v>
      </c>
      <c r="B46" s="2" t="s">
        <v>27</v>
      </c>
      <c r="C46" s="2">
        <v>4.2</v>
      </c>
      <c r="D46" s="6">
        <v>45678</v>
      </c>
    </row>
    <row r="47" spans="1:4" x14ac:dyDescent="0.2">
      <c r="A47" s="2" t="s">
        <v>2077</v>
      </c>
      <c r="B47" s="2" t="s">
        <v>27</v>
      </c>
      <c r="C47" s="2">
        <v>4.13</v>
      </c>
      <c r="D47" s="6">
        <v>46080</v>
      </c>
    </row>
    <row r="48" spans="1:4" x14ac:dyDescent="0.2">
      <c r="A48" s="2" t="s">
        <v>2078</v>
      </c>
      <c r="B48" s="2" t="s">
        <v>27</v>
      </c>
      <c r="C48" s="2">
        <v>4.84</v>
      </c>
      <c r="D48" s="6">
        <v>45685</v>
      </c>
    </row>
    <row r="49" spans="1:4" x14ac:dyDescent="0.2">
      <c r="A49" s="2" t="s">
        <v>2079</v>
      </c>
      <c r="B49" s="2" t="s">
        <v>27</v>
      </c>
      <c r="C49" s="2">
        <v>4.07</v>
      </c>
      <c r="D49" s="6">
        <v>46077</v>
      </c>
    </row>
    <row r="50" spans="1:4" x14ac:dyDescent="0.2">
      <c r="A50" s="2" t="s">
        <v>2080</v>
      </c>
      <c r="B50" s="2" t="s">
        <v>27</v>
      </c>
      <c r="C50" s="2">
        <v>4.55</v>
      </c>
      <c r="D50" s="6">
        <v>45649</v>
      </c>
    </row>
    <row r="51" spans="1:4" x14ac:dyDescent="0.2">
      <c r="A51" s="2" t="s">
        <v>2081</v>
      </c>
      <c r="B51" s="2" t="s">
        <v>27</v>
      </c>
      <c r="C51" s="2">
        <v>4.8899999999999997</v>
      </c>
      <c r="D51" s="6">
        <v>45660</v>
      </c>
    </row>
    <row r="52" spans="1:4" x14ac:dyDescent="0.2">
      <c r="A52" s="2" t="s">
        <v>2082</v>
      </c>
      <c r="B52" s="2" t="s">
        <v>27</v>
      </c>
      <c r="C52" s="2">
        <v>4.45</v>
      </c>
      <c r="D52" s="6">
        <v>45658</v>
      </c>
    </row>
    <row r="53" spans="1:4" x14ac:dyDescent="0.2">
      <c r="A53" s="2" t="s">
        <v>2083</v>
      </c>
      <c r="B53" s="2" t="s">
        <v>27</v>
      </c>
      <c r="C53" s="2">
        <v>4.3099999999999996</v>
      </c>
      <c r="D53" s="6">
        <v>46063</v>
      </c>
    </row>
    <row r="54" spans="1:4" x14ac:dyDescent="0.2">
      <c r="A54" s="2" t="s">
        <v>2084</v>
      </c>
      <c r="B54" s="2" t="s">
        <v>27</v>
      </c>
      <c r="C54" s="2">
        <v>4.28</v>
      </c>
      <c r="D54" s="6">
        <v>45821</v>
      </c>
    </row>
    <row r="55" spans="1:4" x14ac:dyDescent="0.2">
      <c r="A55" s="2" t="s">
        <v>2085</v>
      </c>
      <c r="B55" s="2" t="s">
        <v>27</v>
      </c>
      <c r="C55" s="2">
        <v>4.6100000000000003</v>
      </c>
      <c r="D55" s="6">
        <v>45742</v>
      </c>
    </row>
    <row r="56" spans="1:4" x14ac:dyDescent="0.2">
      <c r="A56" s="2" t="s">
        <v>2086</v>
      </c>
      <c r="B56" s="2" t="s">
        <v>27</v>
      </c>
      <c r="C56" s="2">
        <v>4.03</v>
      </c>
      <c r="D56" s="6">
        <v>45943</v>
      </c>
    </row>
    <row r="57" spans="1:4" x14ac:dyDescent="0.2">
      <c r="A57" s="2" t="s">
        <v>2087</v>
      </c>
      <c r="B57" s="2" t="s">
        <v>27</v>
      </c>
      <c r="C57" s="2">
        <v>3.88</v>
      </c>
      <c r="D57" s="6">
        <v>45707</v>
      </c>
    </row>
    <row r="58" spans="1:4" x14ac:dyDescent="0.2">
      <c r="A58" s="2" t="s">
        <v>2088</v>
      </c>
      <c r="B58" s="2" t="s">
        <v>27</v>
      </c>
      <c r="C58" s="2">
        <v>4.2</v>
      </c>
      <c r="D58" s="6">
        <v>45883</v>
      </c>
    </row>
    <row r="59" spans="1:4" x14ac:dyDescent="0.2">
      <c r="A59" s="2" t="s">
        <v>2089</v>
      </c>
      <c r="B59" s="2" t="s">
        <v>27</v>
      </c>
      <c r="C59" s="2">
        <v>3.94</v>
      </c>
      <c r="D59" s="6">
        <v>45862</v>
      </c>
    </row>
    <row r="60" spans="1:4" x14ac:dyDescent="0.2">
      <c r="A60" s="2" t="s">
        <v>2090</v>
      </c>
      <c r="B60" s="2" t="s">
        <v>27</v>
      </c>
      <c r="C60" s="2">
        <v>4.9800000000000004</v>
      </c>
      <c r="D60" s="6">
        <v>45794</v>
      </c>
    </row>
    <row r="61" spans="1:4" x14ac:dyDescent="0.2">
      <c r="A61" s="2" t="s">
        <v>2091</v>
      </c>
      <c r="B61" s="2" t="s">
        <v>27</v>
      </c>
      <c r="C61" s="2">
        <v>4.0599999999999996</v>
      </c>
      <c r="D61" s="6">
        <v>45728</v>
      </c>
    </row>
    <row r="62" spans="1:4" x14ac:dyDescent="0.2">
      <c r="A62" s="2" t="s">
        <v>2092</v>
      </c>
      <c r="B62" s="2" t="s">
        <v>31</v>
      </c>
      <c r="C62" s="2">
        <v>4.3600000000000003</v>
      </c>
      <c r="D62" s="6">
        <v>45721</v>
      </c>
    </row>
    <row r="63" spans="1:4" x14ac:dyDescent="0.2">
      <c r="A63" s="2" t="s">
        <v>2093</v>
      </c>
      <c r="B63" s="2" t="s">
        <v>31</v>
      </c>
      <c r="C63" s="2">
        <v>3.89</v>
      </c>
      <c r="D63" s="6">
        <v>45967</v>
      </c>
    </row>
    <row r="64" spans="1:4" x14ac:dyDescent="0.2">
      <c r="A64" s="2" t="s">
        <v>2094</v>
      </c>
      <c r="B64" s="2" t="s">
        <v>31</v>
      </c>
      <c r="C64" s="2">
        <v>4.18</v>
      </c>
      <c r="D64" s="6">
        <v>45768</v>
      </c>
    </row>
    <row r="65" spans="1:4" x14ac:dyDescent="0.2">
      <c r="A65" s="2" t="s">
        <v>2095</v>
      </c>
      <c r="B65" s="2" t="s">
        <v>31</v>
      </c>
      <c r="C65" s="2">
        <v>3.98</v>
      </c>
      <c r="D65" s="6">
        <v>45644</v>
      </c>
    </row>
    <row r="66" spans="1:4" x14ac:dyDescent="0.2">
      <c r="A66" s="2" t="s">
        <v>2096</v>
      </c>
      <c r="B66" s="2" t="s">
        <v>31</v>
      </c>
      <c r="C66" s="2">
        <v>4.51</v>
      </c>
      <c r="D66" s="6">
        <v>45881</v>
      </c>
    </row>
    <row r="67" spans="1:4" x14ac:dyDescent="0.2">
      <c r="A67" s="2" t="s">
        <v>2097</v>
      </c>
      <c r="B67" s="2" t="s">
        <v>31</v>
      </c>
      <c r="C67" s="2">
        <v>4.87</v>
      </c>
      <c r="D67" s="6">
        <v>45882</v>
      </c>
    </row>
    <row r="68" spans="1:4" x14ac:dyDescent="0.2">
      <c r="A68" s="2" t="s">
        <v>2098</v>
      </c>
      <c r="B68" s="2" t="s">
        <v>31</v>
      </c>
      <c r="C68" s="2">
        <v>4.16</v>
      </c>
      <c r="D68" s="6">
        <v>45898</v>
      </c>
    </row>
    <row r="69" spans="1:4" x14ac:dyDescent="0.2">
      <c r="A69" s="2" t="s">
        <v>2099</v>
      </c>
      <c r="B69" s="2" t="s">
        <v>31</v>
      </c>
      <c r="C69" s="2">
        <v>4.08</v>
      </c>
      <c r="D69" s="6">
        <v>45948</v>
      </c>
    </row>
    <row r="70" spans="1:4" x14ac:dyDescent="0.2">
      <c r="A70" s="2" t="s">
        <v>2100</v>
      </c>
      <c r="B70" s="2" t="s">
        <v>31</v>
      </c>
      <c r="C70" s="2">
        <v>3.98</v>
      </c>
      <c r="D70" s="6">
        <v>45701</v>
      </c>
    </row>
    <row r="71" spans="1:4" x14ac:dyDescent="0.2">
      <c r="A71" s="2" t="s">
        <v>2101</v>
      </c>
      <c r="B71" s="2" t="s">
        <v>31</v>
      </c>
      <c r="C71" s="2">
        <v>4.97</v>
      </c>
      <c r="D71" s="6">
        <v>46068</v>
      </c>
    </row>
    <row r="72" spans="1:4" x14ac:dyDescent="0.2">
      <c r="A72" s="2" t="s">
        <v>2102</v>
      </c>
      <c r="B72" s="2" t="s">
        <v>31</v>
      </c>
      <c r="C72" s="2">
        <v>4.43</v>
      </c>
      <c r="D72" s="6">
        <v>45896</v>
      </c>
    </row>
    <row r="73" spans="1:4" x14ac:dyDescent="0.2">
      <c r="A73" s="2" t="s">
        <v>2103</v>
      </c>
      <c r="B73" s="2" t="s">
        <v>31</v>
      </c>
      <c r="C73" s="2">
        <v>4.03</v>
      </c>
      <c r="D73" s="6">
        <v>45917</v>
      </c>
    </row>
    <row r="74" spans="1:4" x14ac:dyDescent="0.2">
      <c r="A74" s="2" t="s">
        <v>2104</v>
      </c>
      <c r="B74" s="2" t="s">
        <v>31</v>
      </c>
      <c r="C74" s="2">
        <v>4.95</v>
      </c>
      <c r="D74" s="6">
        <v>46064</v>
      </c>
    </row>
    <row r="75" spans="1:4" x14ac:dyDescent="0.2">
      <c r="A75" s="2" t="s">
        <v>2105</v>
      </c>
      <c r="B75" s="2" t="s">
        <v>31</v>
      </c>
      <c r="C75" s="2">
        <v>4.07</v>
      </c>
      <c r="D75" s="6">
        <v>46111</v>
      </c>
    </row>
    <row r="76" spans="1:4" x14ac:dyDescent="0.2">
      <c r="A76" s="2" t="s">
        <v>2106</v>
      </c>
      <c r="B76" s="2" t="s">
        <v>31</v>
      </c>
      <c r="C76" s="2">
        <v>4.97</v>
      </c>
      <c r="D76" s="6">
        <v>45847</v>
      </c>
    </row>
    <row r="77" spans="1:4" x14ac:dyDescent="0.2">
      <c r="A77" s="2" t="s">
        <v>2107</v>
      </c>
      <c r="B77" s="2" t="s">
        <v>31</v>
      </c>
      <c r="C77" s="2">
        <v>4.63</v>
      </c>
      <c r="D77" s="6">
        <v>45891</v>
      </c>
    </row>
    <row r="78" spans="1:4" x14ac:dyDescent="0.2">
      <c r="A78" s="2" t="s">
        <v>2108</v>
      </c>
      <c r="B78" s="2" t="s">
        <v>31</v>
      </c>
      <c r="C78" s="2">
        <v>3.82</v>
      </c>
      <c r="D78" s="6">
        <v>46059</v>
      </c>
    </row>
    <row r="79" spans="1:4" x14ac:dyDescent="0.2">
      <c r="A79" s="2" t="s">
        <v>2109</v>
      </c>
      <c r="B79" s="2" t="s">
        <v>31</v>
      </c>
      <c r="C79" s="2">
        <v>4.41</v>
      </c>
      <c r="D79" s="6">
        <v>45889</v>
      </c>
    </row>
    <row r="80" spans="1:4" x14ac:dyDescent="0.2">
      <c r="A80" s="2" t="s">
        <v>2110</v>
      </c>
      <c r="B80" s="2" t="s">
        <v>34</v>
      </c>
      <c r="C80" s="2">
        <v>4.22</v>
      </c>
      <c r="D80" s="6">
        <v>46102</v>
      </c>
    </row>
    <row r="81" spans="1:4" x14ac:dyDescent="0.2">
      <c r="A81" s="2" t="s">
        <v>2111</v>
      </c>
      <c r="B81" s="2" t="s">
        <v>34</v>
      </c>
      <c r="C81" s="2">
        <v>4.01</v>
      </c>
      <c r="D81" s="6">
        <v>46012</v>
      </c>
    </row>
    <row r="82" spans="1:4" x14ac:dyDescent="0.2">
      <c r="A82" s="2" t="s">
        <v>2112</v>
      </c>
      <c r="B82" s="2" t="s">
        <v>34</v>
      </c>
      <c r="C82" s="2">
        <v>4.6900000000000004</v>
      </c>
      <c r="D82" s="6">
        <v>46069</v>
      </c>
    </row>
    <row r="83" spans="1:4" x14ac:dyDescent="0.2">
      <c r="A83" s="2" t="s">
        <v>2113</v>
      </c>
      <c r="B83" s="2" t="s">
        <v>34</v>
      </c>
      <c r="C83" s="2">
        <v>4.32</v>
      </c>
      <c r="D83" s="6">
        <v>45980</v>
      </c>
    </row>
    <row r="84" spans="1:4" x14ac:dyDescent="0.2">
      <c r="A84" s="2" t="s">
        <v>2114</v>
      </c>
      <c r="B84" s="2" t="s">
        <v>34</v>
      </c>
      <c r="C84" s="2">
        <v>4.3</v>
      </c>
      <c r="D84" s="6">
        <v>45921</v>
      </c>
    </row>
    <row r="85" spans="1:4" x14ac:dyDescent="0.2">
      <c r="A85" s="2" t="s">
        <v>2115</v>
      </c>
      <c r="B85" s="2" t="s">
        <v>34</v>
      </c>
      <c r="C85" s="2">
        <v>4.53</v>
      </c>
      <c r="D85" s="6">
        <v>45830</v>
      </c>
    </row>
    <row r="86" spans="1:4" x14ac:dyDescent="0.2">
      <c r="A86" s="2" t="s">
        <v>2116</v>
      </c>
      <c r="B86" s="2" t="s">
        <v>34</v>
      </c>
      <c r="C86" s="2">
        <v>4.83</v>
      </c>
      <c r="D86" s="6">
        <v>46017</v>
      </c>
    </row>
    <row r="87" spans="1:4" x14ac:dyDescent="0.2">
      <c r="A87" s="2" t="s">
        <v>2117</v>
      </c>
      <c r="B87" s="2" t="s">
        <v>34</v>
      </c>
      <c r="C87" s="2">
        <v>4.3</v>
      </c>
      <c r="D87" s="6">
        <v>45827</v>
      </c>
    </row>
    <row r="88" spans="1:4" x14ac:dyDescent="0.2">
      <c r="A88" s="2" t="s">
        <v>2118</v>
      </c>
      <c r="B88" s="2" t="s">
        <v>34</v>
      </c>
      <c r="C88" s="2">
        <v>5</v>
      </c>
      <c r="D88" s="6">
        <v>45673</v>
      </c>
    </row>
    <row r="89" spans="1:4" x14ac:dyDescent="0.2">
      <c r="A89" s="2" t="s">
        <v>2119</v>
      </c>
      <c r="B89" s="2" t="s">
        <v>34</v>
      </c>
      <c r="C89" s="2">
        <v>3.92</v>
      </c>
      <c r="D89" s="6">
        <v>46005</v>
      </c>
    </row>
    <row r="90" spans="1:4" x14ac:dyDescent="0.2">
      <c r="A90" s="2" t="s">
        <v>2120</v>
      </c>
      <c r="B90" s="2" t="s">
        <v>34</v>
      </c>
      <c r="C90" s="2">
        <v>4.38</v>
      </c>
      <c r="D90" s="6">
        <v>45660</v>
      </c>
    </row>
    <row r="91" spans="1:4" x14ac:dyDescent="0.2">
      <c r="A91" s="2" t="s">
        <v>2121</v>
      </c>
      <c r="B91" s="2" t="s">
        <v>34</v>
      </c>
      <c r="C91" s="2">
        <v>4.5199999999999996</v>
      </c>
      <c r="D91" s="6">
        <v>45675</v>
      </c>
    </row>
    <row r="92" spans="1:4" x14ac:dyDescent="0.2">
      <c r="A92" s="2" t="s">
        <v>2122</v>
      </c>
      <c r="B92" s="2" t="s">
        <v>34</v>
      </c>
      <c r="C92" s="2">
        <v>4.0999999999999996</v>
      </c>
      <c r="D92" s="6">
        <v>46048</v>
      </c>
    </row>
    <row r="93" spans="1:4" x14ac:dyDescent="0.2">
      <c r="A93" s="2" t="s">
        <v>2123</v>
      </c>
      <c r="B93" s="2" t="s">
        <v>34</v>
      </c>
      <c r="C93" s="2">
        <v>3.82</v>
      </c>
      <c r="D93" s="6">
        <v>45951</v>
      </c>
    </row>
    <row r="94" spans="1:4" x14ac:dyDescent="0.2">
      <c r="A94" s="2" t="s">
        <v>2124</v>
      </c>
      <c r="B94" s="2" t="s">
        <v>34</v>
      </c>
      <c r="C94" s="2">
        <v>4.8099999999999996</v>
      </c>
      <c r="D94" s="6">
        <v>46098</v>
      </c>
    </row>
    <row r="95" spans="1:4" x14ac:dyDescent="0.2">
      <c r="A95" s="2" t="s">
        <v>2125</v>
      </c>
      <c r="B95" s="2" t="s">
        <v>42</v>
      </c>
      <c r="C95" s="2">
        <v>4.0199999999999996</v>
      </c>
      <c r="D95" s="6">
        <v>45927</v>
      </c>
    </row>
    <row r="96" spans="1:4" x14ac:dyDescent="0.2">
      <c r="A96" s="2" t="s">
        <v>2126</v>
      </c>
      <c r="B96" s="2" t="s">
        <v>42</v>
      </c>
      <c r="C96" s="2">
        <v>4.33</v>
      </c>
      <c r="D96" s="6">
        <v>46107</v>
      </c>
    </row>
    <row r="97" spans="1:4" x14ac:dyDescent="0.2">
      <c r="A97" s="2" t="s">
        <v>2127</v>
      </c>
      <c r="B97" s="2" t="s">
        <v>42</v>
      </c>
      <c r="C97" s="2">
        <v>3.93</v>
      </c>
      <c r="D97" s="6">
        <v>45664</v>
      </c>
    </row>
    <row r="98" spans="1:4" x14ac:dyDescent="0.2">
      <c r="A98" s="2" t="s">
        <v>2128</v>
      </c>
      <c r="B98" s="2" t="s">
        <v>42</v>
      </c>
      <c r="C98" s="2">
        <v>4.74</v>
      </c>
      <c r="D98" s="6">
        <v>45942</v>
      </c>
    </row>
    <row r="99" spans="1:4" x14ac:dyDescent="0.2">
      <c r="A99" s="2" t="s">
        <v>2129</v>
      </c>
      <c r="B99" s="2" t="s">
        <v>42</v>
      </c>
      <c r="C99" s="2">
        <v>4.05</v>
      </c>
      <c r="D99" s="6">
        <v>45678</v>
      </c>
    </row>
    <row r="100" spans="1:4" x14ac:dyDescent="0.2">
      <c r="A100" s="2" t="s">
        <v>2130</v>
      </c>
      <c r="B100" s="2" t="s">
        <v>42</v>
      </c>
      <c r="C100" s="2">
        <v>4.74</v>
      </c>
      <c r="D100" s="6">
        <v>46040</v>
      </c>
    </row>
    <row r="101" spans="1:4" x14ac:dyDescent="0.2">
      <c r="A101" s="2" t="s">
        <v>2131</v>
      </c>
      <c r="B101" s="2" t="s">
        <v>42</v>
      </c>
      <c r="C101" s="2">
        <v>4.47</v>
      </c>
      <c r="D101" s="6">
        <v>45787</v>
      </c>
    </row>
    <row r="102" spans="1:4" x14ac:dyDescent="0.2">
      <c r="A102" s="2" t="s">
        <v>2132</v>
      </c>
      <c r="B102" s="2" t="s">
        <v>42</v>
      </c>
      <c r="C102" s="2">
        <v>4.99</v>
      </c>
      <c r="D102" s="6">
        <v>45983</v>
      </c>
    </row>
    <row r="103" spans="1:4" x14ac:dyDescent="0.2">
      <c r="A103" s="2" t="s">
        <v>2133</v>
      </c>
      <c r="B103" s="2" t="s">
        <v>42</v>
      </c>
      <c r="C103" s="2">
        <v>4.8099999999999996</v>
      </c>
      <c r="D103" s="6">
        <v>45802</v>
      </c>
    </row>
    <row r="104" spans="1:4" x14ac:dyDescent="0.2">
      <c r="A104" s="2" t="s">
        <v>2134</v>
      </c>
      <c r="B104" s="2" t="s">
        <v>42</v>
      </c>
      <c r="C104" s="2">
        <v>4.71</v>
      </c>
      <c r="D104" s="6">
        <v>46049</v>
      </c>
    </row>
    <row r="105" spans="1:4" x14ac:dyDescent="0.2">
      <c r="A105" s="2" t="s">
        <v>2135</v>
      </c>
      <c r="B105" s="2" t="s">
        <v>42</v>
      </c>
      <c r="C105" s="2">
        <v>4.79</v>
      </c>
      <c r="D105" s="6">
        <v>46063</v>
      </c>
    </row>
    <row r="106" spans="1:4" x14ac:dyDescent="0.2">
      <c r="A106" s="2" t="s">
        <v>2136</v>
      </c>
      <c r="B106" s="2" t="s">
        <v>42</v>
      </c>
      <c r="C106" s="2">
        <v>4.22</v>
      </c>
      <c r="D106" s="6">
        <v>45867</v>
      </c>
    </row>
    <row r="107" spans="1:4" x14ac:dyDescent="0.2">
      <c r="A107" s="2" t="s">
        <v>2137</v>
      </c>
      <c r="B107" s="2" t="s">
        <v>42</v>
      </c>
      <c r="C107" s="2">
        <v>4.76</v>
      </c>
      <c r="D107" s="6">
        <v>45849</v>
      </c>
    </row>
    <row r="108" spans="1:4" x14ac:dyDescent="0.2">
      <c r="A108" s="2" t="s">
        <v>2138</v>
      </c>
      <c r="B108" s="2" t="s">
        <v>42</v>
      </c>
      <c r="C108" s="2">
        <v>4.88</v>
      </c>
      <c r="D108" s="6">
        <v>45654</v>
      </c>
    </row>
    <row r="109" spans="1:4" x14ac:dyDescent="0.2">
      <c r="A109" s="2" t="s">
        <v>2139</v>
      </c>
      <c r="B109" s="2" t="s">
        <v>42</v>
      </c>
      <c r="C109" s="2">
        <v>4.45</v>
      </c>
      <c r="D109" s="6">
        <v>45700</v>
      </c>
    </row>
    <row r="110" spans="1:4" x14ac:dyDescent="0.2">
      <c r="A110" s="2" t="s">
        <v>2140</v>
      </c>
      <c r="B110" s="2" t="s">
        <v>42</v>
      </c>
      <c r="C110" s="2">
        <v>4.5999999999999996</v>
      </c>
      <c r="D110" s="6">
        <v>46092</v>
      </c>
    </row>
    <row r="111" spans="1:4" x14ac:dyDescent="0.2">
      <c r="A111" s="2" t="s">
        <v>2141</v>
      </c>
      <c r="B111" s="2" t="s">
        <v>42</v>
      </c>
      <c r="C111" s="2">
        <v>4.07</v>
      </c>
      <c r="D111" s="6">
        <v>45658</v>
      </c>
    </row>
    <row r="112" spans="1:4" x14ac:dyDescent="0.2">
      <c r="A112" s="2" t="s">
        <v>2142</v>
      </c>
      <c r="B112" s="2" t="s">
        <v>42</v>
      </c>
      <c r="C112" s="2">
        <v>4.74</v>
      </c>
      <c r="D112" s="6">
        <v>46045</v>
      </c>
    </row>
    <row r="113" spans="1:4" x14ac:dyDescent="0.2">
      <c r="A113" s="2" t="s">
        <v>2143</v>
      </c>
      <c r="B113" s="2" t="s">
        <v>42</v>
      </c>
      <c r="C113" s="2">
        <v>4.2300000000000004</v>
      </c>
      <c r="D113" s="6">
        <v>45903</v>
      </c>
    </row>
    <row r="114" spans="1:4" x14ac:dyDescent="0.2">
      <c r="A114" s="2" t="s">
        <v>2144</v>
      </c>
      <c r="B114" s="2" t="s">
        <v>53</v>
      </c>
      <c r="C114" s="2">
        <v>4.75</v>
      </c>
      <c r="D114" s="6">
        <v>45858</v>
      </c>
    </row>
    <row r="115" spans="1:4" x14ac:dyDescent="0.2">
      <c r="A115" s="2" t="s">
        <v>2145</v>
      </c>
      <c r="B115" s="2" t="s">
        <v>53</v>
      </c>
      <c r="C115" s="2">
        <v>4</v>
      </c>
      <c r="D115" s="6">
        <v>46085</v>
      </c>
    </row>
    <row r="116" spans="1:4" x14ac:dyDescent="0.2">
      <c r="A116" s="2" t="s">
        <v>2146</v>
      </c>
      <c r="B116" s="2" t="s">
        <v>53</v>
      </c>
      <c r="C116" s="2">
        <v>4.6399999999999997</v>
      </c>
      <c r="D116" s="6">
        <v>45960</v>
      </c>
    </row>
    <row r="117" spans="1:4" x14ac:dyDescent="0.2">
      <c r="A117" s="2" t="s">
        <v>2147</v>
      </c>
      <c r="B117" s="2" t="s">
        <v>53</v>
      </c>
      <c r="C117" s="2">
        <v>4.38</v>
      </c>
      <c r="D117" s="6">
        <v>45790</v>
      </c>
    </row>
    <row r="118" spans="1:4" x14ac:dyDescent="0.2">
      <c r="A118" s="2" t="s">
        <v>2148</v>
      </c>
      <c r="B118" s="2" t="s">
        <v>53</v>
      </c>
      <c r="C118" s="2">
        <v>4.58</v>
      </c>
      <c r="D118" s="6">
        <v>45807</v>
      </c>
    </row>
    <row r="119" spans="1:4" x14ac:dyDescent="0.2">
      <c r="A119" s="2" t="s">
        <v>2149</v>
      </c>
      <c r="B119" s="2" t="s">
        <v>53</v>
      </c>
      <c r="C119" s="2">
        <v>4.5599999999999996</v>
      </c>
      <c r="D119" s="6">
        <v>45936</v>
      </c>
    </row>
    <row r="120" spans="1:4" x14ac:dyDescent="0.2">
      <c r="A120" s="2" t="s">
        <v>2150</v>
      </c>
      <c r="B120" s="2" t="s">
        <v>53</v>
      </c>
      <c r="C120" s="2">
        <v>4.59</v>
      </c>
      <c r="D120" s="6">
        <v>45891</v>
      </c>
    </row>
    <row r="121" spans="1:4" x14ac:dyDescent="0.2">
      <c r="A121" s="2" t="s">
        <v>2151</v>
      </c>
      <c r="B121" s="2" t="s">
        <v>53</v>
      </c>
      <c r="C121" s="2">
        <v>4.0199999999999996</v>
      </c>
      <c r="D121" s="6">
        <v>45810</v>
      </c>
    </row>
    <row r="122" spans="1:4" x14ac:dyDescent="0.2">
      <c r="A122" s="2" t="s">
        <v>2152</v>
      </c>
      <c r="B122" s="2" t="s">
        <v>53</v>
      </c>
      <c r="C122" s="2">
        <v>4.9000000000000004</v>
      </c>
      <c r="D122" s="6">
        <v>45775</v>
      </c>
    </row>
    <row r="123" spans="1:4" x14ac:dyDescent="0.2">
      <c r="A123" s="2" t="s">
        <v>2153</v>
      </c>
      <c r="B123" s="2" t="s">
        <v>53</v>
      </c>
      <c r="C123" s="2">
        <v>4.76</v>
      </c>
      <c r="D123" s="6">
        <v>45765</v>
      </c>
    </row>
    <row r="124" spans="1:4" x14ac:dyDescent="0.2">
      <c r="A124" s="2" t="s">
        <v>2154</v>
      </c>
      <c r="B124" s="2" t="s">
        <v>53</v>
      </c>
      <c r="C124" s="2">
        <v>4.7699999999999996</v>
      </c>
      <c r="D124" s="6">
        <v>45819</v>
      </c>
    </row>
    <row r="125" spans="1:4" x14ac:dyDescent="0.2">
      <c r="A125" s="2" t="s">
        <v>2155</v>
      </c>
      <c r="B125" s="2" t="s">
        <v>53</v>
      </c>
      <c r="C125" s="2">
        <v>4.04</v>
      </c>
      <c r="D125" s="6">
        <v>45765</v>
      </c>
    </row>
    <row r="126" spans="1:4" x14ac:dyDescent="0.2">
      <c r="A126" s="2" t="s">
        <v>2156</v>
      </c>
      <c r="B126" s="2" t="s">
        <v>53</v>
      </c>
      <c r="C126" s="2">
        <v>4.1100000000000003</v>
      </c>
      <c r="D126" s="6">
        <v>46004</v>
      </c>
    </row>
    <row r="127" spans="1:4" x14ac:dyDescent="0.2">
      <c r="A127" s="2" t="s">
        <v>2157</v>
      </c>
      <c r="B127" s="2" t="s">
        <v>53</v>
      </c>
      <c r="C127" s="2">
        <v>4.78</v>
      </c>
      <c r="D127" s="6">
        <v>45836</v>
      </c>
    </row>
    <row r="128" spans="1:4" x14ac:dyDescent="0.2">
      <c r="A128" s="2" t="s">
        <v>2158</v>
      </c>
      <c r="B128" s="2" t="s">
        <v>53</v>
      </c>
      <c r="C128" s="2">
        <v>4.95</v>
      </c>
      <c r="D128" s="6">
        <v>45858</v>
      </c>
    </row>
    <row r="129" spans="1:4" x14ac:dyDescent="0.2">
      <c r="A129" s="2" t="s">
        <v>2159</v>
      </c>
      <c r="B129" s="2" t="s">
        <v>53</v>
      </c>
      <c r="C129" s="2">
        <v>4.46</v>
      </c>
      <c r="D129" s="6">
        <v>45679</v>
      </c>
    </row>
    <row r="130" spans="1:4" x14ac:dyDescent="0.2">
      <c r="A130" s="2" t="s">
        <v>2160</v>
      </c>
      <c r="B130" s="2" t="s">
        <v>53</v>
      </c>
      <c r="C130" s="2">
        <v>4.33</v>
      </c>
      <c r="D130" s="6">
        <v>45797</v>
      </c>
    </row>
    <row r="131" spans="1:4" x14ac:dyDescent="0.2">
      <c r="A131" s="2" t="s">
        <v>2161</v>
      </c>
      <c r="B131" s="2" t="s">
        <v>53</v>
      </c>
      <c r="C131" s="2">
        <v>4.5199999999999996</v>
      </c>
      <c r="D131" s="6">
        <v>45817</v>
      </c>
    </row>
    <row r="132" spans="1:4" x14ac:dyDescent="0.2">
      <c r="A132" s="2" t="s">
        <v>2162</v>
      </c>
      <c r="B132" s="2" t="s">
        <v>53</v>
      </c>
      <c r="C132" s="2">
        <v>3.85</v>
      </c>
      <c r="D132" s="6">
        <v>46057</v>
      </c>
    </row>
    <row r="133" spans="1:4" x14ac:dyDescent="0.2">
      <c r="A133" s="2" t="s">
        <v>2163</v>
      </c>
      <c r="B133" s="2" t="s">
        <v>53</v>
      </c>
      <c r="C133" s="2">
        <v>4.88</v>
      </c>
      <c r="D133" s="6">
        <v>45884</v>
      </c>
    </row>
    <row r="134" spans="1:4" x14ac:dyDescent="0.2">
      <c r="A134" s="2" t="s">
        <v>2164</v>
      </c>
      <c r="B134" s="2" t="s">
        <v>53</v>
      </c>
      <c r="C134" s="2">
        <v>4.62</v>
      </c>
      <c r="D134" s="6">
        <v>45799</v>
      </c>
    </row>
    <row r="135" spans="1:4" x14ac:dyDescent="0.2">
      <c r="A135" s="2" t="s">
        <v>2165</v>
      </c>
      <c r="B135" s="2" t="s">
        <v>53</v>
      </c>
      <c r="C135" s="2">
        <v>4.7699999999999996</v>
      </c>
      <c r="D135" s="6">
        <v>46112</v>
      </c>
    </row>
    <row r="136" spans="1:4" x14ac:dyDescent="0.2">
      <c r="A136" s="2" t="s">
        <v>2166</v>
      </c>
      <c r="B136" s="2" t="s">
        <v>53</v>
      </c>
      <c r="C136" s="2">
        <v>4.7300000000000004</v>
      </c>
      <c r="D136" s="6">
        <v>45971</v>
      </c>
    </row>
    <row r="137" spans="1:4" x14ac:dyDescent="0.2">
      <c r="A137" s="2" t="s">
        <v>2167</v>
      </c>
      <c r="B137" s="2" t="s">
        <v>53</v>
      </c>
      <c r="C137" s="2">
        <v>4.45</v>
      </c>
      <c r="D137" s="6">
        <v>45689</v>
      </c>
    </row>
    <row r="138" spans="1:4" x14ac:dyDescent="0.2">
      <c r="A138" s="2" t="s">
        <v>2168</v>
      </c>
      <c r="B138" s="2" t="s">
        <v>75</v>
      </c>
      <c r="C138" s="2">
        <v>4.92</v>
      </c>
      <c r="D138" s="6">
        <v>45791</v>
      </c>
    </row>
    <row r="139" spans="1:4" x14ac:dyDescent="0.2">
      <c r="A139" s="2" t="s">
        <v>2169</v>
      </c>
      <c r="B139" s="2" t="s">
        <v>75</v>
      </c>
      <c r="C139" s="2">
        <v>3.88</v>
      </c>
      <c r="D139" s="6">
        <v>46048</v>
      </c>
    </row>
    <row r="140" spans="1:4" x14ac:dyDescent="0.2">
      <c r="A140" s="2" t="s">
        <v>2170</v>
      </c>
      <c r="B140" s="2" t="s">
        <v>75</v>
      </c>
      <c r="C140" s="2">
        <v>4.18</v>
      </c>
      <c r="D140" s="6">
        <v>45686</v>
      </c>
    </row>
    <row r="141" spans="1:4" x14ac:dyDescent="0.2">
      <c r="A141" s="2" t="s">
        <v>2171</v>
      </c>
      <c r="B141" s="2" t="s">
        <v>75</v>
      </c>
      <c r="C141" s="2">
        <v>3.98</v>
      </c>
      <c r="D141" s="6">
        <v>45663</v>
      </c>
    </row>
    <row r="142" spans="1:4" x14ac:dyDescent="0.2">
      <c r="A142" s="2" t="s">
        <v>2172</v>
      </c>
      <c r="B142" s="2" t="s">
        <v>75</v>
      </c>
      <c r="C142" s="2">
        <v>4.87</v>
      </c>
      <c r="D142" s="6">
        <v>45824</v>
      </c>
    </row>
    <row r="143" spans="1:4" x14ac:dyDescent="0.2">
      <c r="A143" s="2" t="s">
        <v>2173</v>
      </c>
      <c r="B143" s="2" t="s">
        <v>75</v>
      </c>
      <c r="C143" s="2">
        <v>4.7699999999999996</v>
      </c>
      <c r="D143" s="6">
        <v>45826</v>
      </c>
    </row>
    <row r="144" spans="1:4" x14ac:dyDescent="0.2">
      <c r="A144" s="2" t="s">
        <v>2174</v>
      </c>
      <c r="B144" s="2" t="s">
        <v>75</v>
      </c>
      <c r="C144" s="2">
        <v>4.34</v>
      </c>
      <c r="D144" s="6">
        <v>45889</v>
      </c>
    </row>
    <row r="145" spans="1:4" x14ac:dyDescent="0.2">
      <c r="A145" s="2" t="s">
        <v>2175</v>
      </c>
      <c r="B145" s="2" t="s">
        <v>75</v>
      </c>
      <c r="C145" s="2">
        <v>4.1399999999999997</v>
      </c>
      <c r="D145" s="6">
        <v>45676</v>
      </c>
    </row>
    <row r="146" spans="1:4" x14ac:dyDescent="0.2">
      <c r="A146" s="2" t="s">
        <v>2176</v>
      </c>
      <c r="B146" s="2" t="s">
        <v>75</v>
      </c>
      <c r="C146" s="2">
        <v>4.26</v>
      </c>
      <c r="D146" s="6">
        <v>45729</v>
      </c>
    </row>
    <row r="147" spans="1:4" x14ac:dyDescent="0.2">
      <c r="A147" s="2" t="s">
        <v>2177</v>
      </c>
      <c r="B147" s="2" t="s">
        <v>75</v>
      </c>
      <c r="C147" s="2">
        <v>4.7300000000000004</v>
      </c>
      <c r="D147" s="6">
        <v>45999</v>
      </c>
    </row>
    <row r="148" spans="1:4" x14ac:dyDescent="0.2">
      <c r="A148" s="2" t="s">
        <v>2178</v>
      </c>
      <c r="B148" s="2" t="s">
        <v>75</v>
      </c>
      <c r="C148" s="2">
        <v>4.5999999999999996</v>
      </c>
      <c r="D148" s="6">
        <v>46047</v>
      </c>
    </row>
    <row r="149" spans="1:4" x14ac:dyDescent="0.2">
      <c r="A149" s="2" t="s">
        <v>2179</v>
      </c>
      <c r="B149" s="2" t="s">
        <v>75</v>
      </c>
      <c r="C149" s="2">
        <v>4.84</v>
      </c>
      <c r="D149" s="6">
        <v>45746</v>
      </c>
    </row>
    <row r="150" spans="1:4" x14ac:dyDescent="0.2">
      <c r="A150" s="2" t="s">
        <v>2180</v>
      </c>
      <c r="B150" s="2" t="s">
        <v>75</v>
      </c>
      <c r="C150" s="2">
        <v>3.9</v>
      </c>
      <c r="D150" s="6">
        <v>45876</v>
      </c>
    </row>
    <row r="151" spans="1:4" x14ac:dyDescent="0.2">
      <c r="A151" s="2" t="s">
        <v>2181</v>
      </c>
      <c r="B151" s="2" t="s">
        <v>75</v>
      </c>
      <c r="C151" s="2">
        <v>3.81</v>
      </c>
      <c r="D151" s="6">
        <v>46054</v>
      </c>
    </row>
    <row r="152" spans="1:4" x14ac:dyDescent="0.2">
      <c r="A152" s="2" t="s">
        <v>2182</v>
      </c>
      <c r="B152" s="2" t="s">
        <v>75</v>
      </c>
      <c r="C152" s="2">
        <v>4.72</v>
      </c>
      <c r="D152" s="6">
        <v>45719</v>
      </c>
    </row>
    <row r="153" spans="1:4" x14ac:dyDescent="0.2">
      <c r="A153" s="2" t="s">
        <v>2183</v>
      </c>
      <c r="B153" s="2" t="s">
        <v>75</v>
      </c>
      <c r="C153" s="2">
        <v>4.75</v>
      </c>
      <c r="D153" s="6">
        <v>45697</v>
      </c>
    </row>
    <row r="154" spans="1:4" x14ac:dyDescent="0.2">
      <c r="A154" s="2" t="s">
        <v>2184</v>
      </c>
      <c r="B154" s="2" t="s">
        <v>75</v>
      </c>
      <c r="C154" s="2">
        <v>4.51</v>
      </c>
      <c r="D154" s="6">
        <v>45848</v>
      </c>
    </row>
    <row r="155" spans="1:4" x14ac:dyDescent="0.2">
      <c r="A155" s="2" t="s">
        <v>2185</v>
      </c>
      <c r="B155" s="2" t="s">
        <v>75</v>
      </c>
      <c r="C155" s="2">
        <v>3.98</v>
      </c>
      <c r="D155" s="6">
        <v>45760</v>
      </c>
    </row>
    <row r="156" spans="1:4" x14ac:dyDescent="0.2">
      <c r="A156" s="2" t="s">
        <v>2186</v>
      </c>
      <c r="B156" s="2" t="s">
        <v>75</v>
      </c>
      <c r="C156" s="2">
        <v>4.9800000000000004</v>
      </c>
      <c r="D156" s="6">
        <v>45881</v>
      </c>
    </row>
    <row r="157" spans="1:4" x14ac:dyDescent="0.2">
      <c r="A157" s="2" t="s">
        <v>2187</v>
      </c>
      <c r="B157" s="2" t="s">
        <v>75</v>
      </c>
      <c r="C157" s="2">
        <v>4.29</v>
      </c>
      <c r="D157" s="6">
        <v>45646</v>
      </c>
    </row>
    <row r="158" spans="1:4" x14ac:dyDescent="0.2">
      <c r="A158" s="2" t="s">
        <v>2188</v>
      </c>
      <c r="B158" s="2" t="s">
        <v>75</v>
      </c>
      <c r="C158" s="2">
        <v>4.6399999999999997</v>
      </c>
      <c r="D158" s="6">
        <v>46026</v>
      </c>
    </row>
    <row r="159" spans="1:4" x14ac:dyDescent="0.2">
      <c r="A159" s="2" t="s">
        <v>2189</v>
      </c>
      <c r="B159" s="2" t="s">
        <v>75</v>
      </c>
      <c r="C159" s="2">
        <v>4.84</v>
      </c>
      <c r="D159" s="6">
        <v>45946</v>
      </c>
    </row>
    <row r="160" spans="1:4" x14ac:dyDescent="0.2">
      <c r="A160" s="2" t="s">
        <v>2190</v>
      </c>
      <c r="B160" s="2" t="s">
        <v>75</v>
      </c>
      <c r="C160" s="2">
        <v>4.26</v>
      </c>
      <c r="D160" s="6">
        <v>46079</v>
      </c>
    </row>
    <row r="161" spans="1:4" x14ac:dyDescent="0.2">
      <c r="A161" s="2" t="s">
        <v>2191</v>
      </c>
      <c r="B161" s="2" t="s">
        <v>75</v>
      </c>
      <c r="C161" s="2">
        <v>4.6100000000000003</v>
      </c>
      <c r="D161" s="6">
        <v>45850</v>
      </c>
    </row>
    <row r="162" spans="1:4" x14ac:dyDescent="0.2">
      <c r="A162" s="2" t="s">
        <v>2192</v>
      </c>
      <c r="B162" s="2" t="s">
        <v>75</v>
      </c>
      <c r="C162" s="2">
        <v>4.74</v>
      </c>
      <c r="D162" s="6">
        <v>45833</v>
      </c>
    </row>
  </sheetData>
  <mergeCells count="1">
    <mergeCell ref="A1:D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B74A-A1B4-7642-9F02-603276697D0F}">
  <dimension ref="A1:B76"/>
  <sheetViews>
    <sheetView workbookViewId="0">
      <selection activeCell="D5" sqref="D5"/>
    </sheetView>
  </sheetViews>
  <sheetFormatPr baseColWidth="10" defaultRowHeight="16" x14ac:dyDescent="0.2"/>
  <cols>
    <col min="1" max="1" width="12.83203125" bestFit="1" customWidth="1"/>
    <col min="2" max="2" width="18.1640625" bestFit="1" customWidth="1"/>
  </cols>
  <sheetData>
    <row r="1" spans="1:2" x14ac:dyDescent="0.2">
      <c r="A1" s="16" t="s">
        <v>0</v>
      </c>
      <c r="B1" s="16" t="s">
        <v>2193</v>
      </c>
    </row>
    <row r="2" spans="1:2" x14ac:dyDescent="0.2">
      <c r="A2" s="1" t="s">
        <v>56</v>
      </c>
      <c r="B2" s="1" t="s">
        <v>2194</v>
      </c>
    </row>
    <row r="3" spans="1:2" x14ac:dyDescent="0.2">
      <c r="A3" s="1" t="s">
        <v>63</v>
      </c>
      <c r="B3" s="1" t="s">
        <v>2195</v>
      </c>
    </row>
    <row r="4" spans="1:2" x14ac:dyDescent="0.2">
      <c r="A4" s="1" t="s">
        <v>127</v>
      </c>
      <c r="B4" s="1" t="s">
        <v>2195</v>
      </c>
    </row>
    <row r="5" spans="1:2" x14ac:dyDescent="0.2">
      <c r="A5" s="1" t="s">
        <v>169</v>
      </c>
      <c r="B5" s="1" t="s">
        <v>2196</v>
      </c>
    </row>
    <row r="6" spans="1:2" x14ac:dyDescent="0.2">
      <c r="A6" s="1" t="s">
        <v>227</v>
      </c>
      <c r="B6" s="1" t="s">
        <v>2197</v>
      </c>
    </row>
    <row r="7" spans="1:2" x14ac:dyDescent="0.2">
      <c r="A7" s="1" t="s">
        <v>233</v>
      </c>
      <c r="B7" s="1" t="s">
        <v>2196</v>
      </c>
    </row>
    <row r="8" spans="1:2" x14ac:dyDescent="0.2">
      <c r="A8" s="1" t="s">
        <v>313</v>
      </c>
      <c r="B8" s="1" t="s">
        <v>2196</v>
      </c>
    </row>
    <row r="9" spans="1:2" x14ac:dyDescent="0.2">
      <c r="A9" s="1" t="s">
        <v>337</v>
      </c>
      <c r="B9" s="1" t="s">
        <v>2196</v>
      </c>
    </row>
    <row r="10" spans="1:2" x14ac:dyDescent="0.2">
      <c r="A10" s="1" t="s">
        <v>347</v>
      </c>
      <c r="B10" s="1" t="s">
        <v>2195</v>
      </c>
    </row>
    <row r="11" spans="1:2" x14ac:dyDescent="0.2">
      <c r="A11" s="1" t="s">
        <v>353</v>
      </c>
      <c r="B11" s="1" t="s">
        <v>2197</v>
      </c>
    </row>
    <row r="12" spans="1:2" x14ac:dyDescent="0.2">
      <c r="A12" s="1" t="s">
        <v>355</v>
      </c>
      <c r="B12" s="1" t="s">
        <v>2197</v>
      </c>
    </row>
    <row r="13" spans="1:2" x14ac:dyDescent="0.2">
      <c r="A13" s="1" t="s">
        <v>383</v>
      </c>
      <c r="B13" s="1" t="s">
        <v>2196</v>
      </c>
    </row>
    <row r="14" spans="1:2" x14ac:dyDescent="0.2">
      <c r="A14" s="1" t="s">
        <v>395</v>
      </c>
      <c r="B14" s="1" t="s">
        <v>2196</v>
      </c>
    </row>
    <row r="15" spans="1:2" x14ac:dyDescent="0.2">
      <c r="A15" s="1" t="s">
        <v>403</v>
      </c>
      <c r="B15" s="1" t="s">
        <v>2197</v>
      </c>
    </row>
    <row r="16" spans="1:2" x14ac:dyDescent="0.2">
      <c r="A16" s="1" t="s">
        <v>407</v>
      </c>
      <c r="B16" s="1" t="s">
        <v>2197</v>
      </c>
    </row>
    <row r="17" spans="1:2" x14ac:dyDescent="0.2">
      <c r="A17" s="1" t="s">
        <v>417</v>
      </c>
      <c r="B17" s="1" t="s">
        <v>2196</v>
      </c>
    </row>
    <row r="18" spans="1:2" x14ac:dyDescent="0.2">
      <c r="A18" s="1" t="s">
        <v>425</v>
      </c>
      <c r="B18" s="1" t="s">
        <v>2196</v>
      </c>
    </row>
    <row r="19" spans="1:2" x14ac:dyDescent="0.2">
      <c r="A19" s="1" t="s">
        <v>437</v>
      </c>
      <c r="B19" s="1" t="s">
        <v>2197</v>
      </c>
    </row>
    <row r="20" spans="1:2" x14ac:dyDescent="0.2">
      <c r="A20" s="1" t="s">
        <v>455</v>
      </c>
      <c r="B20" s="1" t="s">
        <v>2194</v>
      </c>
    </row>
    <row r="21" spans="1:2" x14ac:dyDescent="0.2">
      <c r="A21" s="1" t="s">
        <v>485</v>
      </c>
      <c r="B21" s="1" t="s">
        <v>2196</v>
      </c>
    </row>
    <row r="22" spans="1:2" x14ac:dyDescent="0.2">
      <c r="A22" s="1" t="s">
        <v>539</v>
      </c>
      <c r="B22" s="1" t="s">
        <v>2195</v>
      </c>
    </row>
    <row r="23" spans="1:2" x14ac:dyDescent="0.2">
      <c r="A23" s="1" t="s">
        <v>573</v>
      </c>
      <c r="B23" s="1" t="s">
        <v>2195</v>
      </c>
    </row>
    <row r="24" spans="1:2" x14ac:dyDescent="0.2">
      <c r="A24" s="1" t="s">
        <v>579</v>
      </c>
      <c r="B24" s="1" t="s">
        <v>2195</v>
      </c>
    </row>
    <row r="25" spans="1:2" x14ac:dyDescent="0.2">
      <c r="A25" s="1" t="s">
        <v>581</v>
      </c>
      <c r="B25" s="1" t="s">
        <v>2194</v>
      </c>
    </row>
    <row r="26" spans="1:2" x14ac:dyDescent="0.2">
      <c r="A26" s="1" t="s">
        <v>589</v>
      </c>
      <c r="B26" s="1" t="s">
        <v>2197</v>
      </c>
    </row>
    <row r="27" spans="1:2" x14ac:dyDescent="0.2">
      <c r="A27" s="1" t="s">
        <v>607</v>
      </c>
      <c r="B27" s="1" t="s">
        <v>2195</v>
      </c>
    </row>
    <row r="28" spans="1:2" x14ac:dyDescent="0.2">
      <c r="A28" s="1" t="s">
        <v>641</v>
      </c>
      <c r="B28" s="1" t="s">
        <v>2197</v>
      </c>
    </row>
    <row r="29" spans="1:2" x14ac:dyDescent="0.2">
      <c r="A29" s="1" t="s">
        <v>694</v>
      </c>
      <c r="B29" s="1" t="s">
        <v>2197</v>
      </c>
    </row>
    <row r="30" spans="1:2" x14ac:dyDescent="0.2">
      <c r="A30" s="1" t="s">
        <v>696</v>
      </c>
      <c r="B30" s="1" t="s">
        <v>2195</v>
      </c>
    </row>
    <row r="31" spans="1:2" x14ac:dyDescent="0.2">
      <c r="A31" s="1" t="s">
        <v>698</v>
      </c>
      <c r="B31" s="1" t="s">
        <v>2197</v>
      </c>
    </row>
    <row r="32" spans="1:2" x14ac:dyDescent="0.2">
      <c r="A32" s="1" t="s">
        <v>716</v>
      </c>
      <c r="B32" s="1" t="s">
        <v>2195</v>
      </c>
    </row>
    <row r="33" spans="1:2" x14ac:dyDescent="0.2">
      <c r="A33" s="1" t="s">
        <v>725</v>
      </c>
      <c r="B33" s="1" t="s">
        <v>2196</v>
      </c>
    </row>
    <row r="34" spans="1:2" x14ac:dyDescent="0.2">
      <c r="A34" s="1" t="s">
        <v>749</v>
      </c>
      <c r="B34" s="1" t="s">
        <v>2196</v>
      </c>
    </row>
    <row r="35" spans="1:2" x14ac:dyDescent="0.2">
      <c r="A35" s="1" t="s">
        <v>767</v>
      </c>
      <c r="B35" s="1" t="s">
        <v>2196</v>
      </c>
    </row>
    <row r="36" spans="1:2" x14ac:dyDescent="0.2">
      <c r="A36" s="1" t="s">
        <v>793</v>
      </c>
      <c r="B36" s="1" t="s">
        <v>2195</v>
      </c>
    </row>
    <row r="37" spans="1:2" x14ac:dyDescent="0.2">
      <c r="A37" s="1" t="s">
        <v>795</v>
      </c>
      <c r="B37" s="1" t="s">
        <v>2195</v>
      </c>
    </row>
    <row r="38" spans="1:2" x14ac:dyDescent="0.2">
      <c r="A38" s="1" t="s">
        <v>831</v>
      </c>
      <c r="B38" s="1" t="s">
        <v>2194</v>
      </c>
    </row>
    <row r="39" spans="1:2" x14ac:dyDescent="0.2">
      <c r="A39" s="1" t="s">
        <v>857</v>
      </c>
      <c r="B39" s="1" t="s">
        <v>2197</v>
      </c>
    </row>
    <row r="40" spans="1:2" x14ac:dyDescent="0.2">
      <c r="A40" s="1" t="s">
        <v>871</v>
      </c>
      <c r="B40" s="1" t="s">
        <v>2196</v>
      </c>
    </row>
    <row r="41" spans="1:2" x14ac:dyDescent="0.2">
      <c r="A41" s="1" t="s">
        <v>877</v>
      </c>
      <c r="B41" s="1" t="s">
        <v>2194</v>
      </c>
    </row>
    <row r="42" spans="1:2" x14ac:dyDescent="0.2">
      <c r="A42" s="1" t="s">
        <v>881</v>
      </c>
      <c r="B42" s="1" t="s">
        <v>2195</v>
      </c>
    </row>
    <row r="43" spans="1:2" x14ac:dyDescent="0.2">
      <c r="A43" s="1" t="s">
        <v>889</v>
      </c>
      <c r="B43" s="1" t="s">
        <v>2195</v>
      </c>
    </row>
    <row r="44" spans="1:2" x14ac:dyDescent="0.2">
      <c r="A44" s="1" t="s">
        <v>905</v>
      </c>
      <c r="B44" s="1" t="s">
        <v>2196</v>
      </c>
    </row>
    <row r="45" spans="1:2" x14ac:dyDescent="0.2">
      <c r="A45" s="1" t="s">
        <v>913</v>
      </c>
      <c r="B45" s="1" t="s">
        <v>2197</v>
      </c>
    </row>
    <row r="46" spans="1:2" x14ac:dyDescent="0.2">
      <c r="A46" s="1" t="s">
        <v>1059</v>
      </c>
      <c r="B46" s="1" t="s">
        <v>2194</v>
      </c>
    </row>
    <row r="47" spans="1:2" x14ac:dyDescent="0.2">
      <c r="A47" s="1" t="s">
        <v>1089</v>
      </c>
      <c r="B47" s="1" t="s">
        <v>2197</v>
      </c>
    </row>
    <row r="48" spans="1:2" x14ac:dyDescent="0.2">
      <c r="A48" s="1" t="s">
        <v>1097</v>
      </c>
      <c r="B48" s="1" t="s">
        <v>2195</v>
      </c>
    </row>
    <row r="49" spans="1:2" x14ac:dyDescent="0.2">
      <c r="A49" s="1" t="s">
        <v>1117</v>
      </c>
      <c r="B49" s="1" t="s">
        <v>2196</v>
      </c>
    </row>
    <row r="50" spans="1:2" x14ac:dyDescent="0.2">
      <c r="A50" s="1" t="s">
        <v>1149</v>
      </c>
      <c r="B50" s="1" t="s">
        <v>2195</v>
      </c>
    </row>
    <row r="51" spans="1:2" x14ac:dyDescent="0.2">
      <c r="A51" s="1" t="s">
        <v>1171</v>
      </c>
      <c r="B51" s="1" t="s">
        <v>2195</v>
      </c>
    </row>
    <row r="52" spans="1:2" x14ac:dyDescent="0.2">
      <c r="A52" s="1" t="s">
        <v>1215</v>
      </c>
      <c r="B52" s="1" t="s">
        <v>2196</v>
      </c>
    </row>
    <row r="53" spans="1:2" x14ac:dyDescent="0.2">
      <c r="A53" s="1" t="s">
        <v>1249</v>
      </c>
      <c r="B53" s="1" t="s">
        <v>2197</v>
      </c>
    </row>
    <row r="54" spans="1:2" x14ac:dyDescent="0.2">
      <c r="A54" s="1" t="s">
        <v>1281</v>
      </c>
      <c r="B54" s="1" t="s">
        <v>2195</v>
      </c>
    </row>
    <row r="55" spans="1:2" x14ac:dyDescent="0.2">
      <c r="A55" s="1" t="s">
        <v>1334</v>
      </c>
      <c r="B55" s="1" t="s">
        <v>2196</v>
      </c>
    </row>
    <row r="56" spans="1:2" x14ac:dyDescent="0.2">
      <c r="A56" s="1" t="s">
        <v>1350</v>
      </c>
      <c r="B56" s="1" t="s">
        <v>2195</v>
      </c>
    </row>
    <row r="57" spans="1:2" x14ac:dyDescent="0.2">
      <c r="A57" s="1" t="s">
        <v>1438</v>
      </c>
      <c r="B57" s="1" t="s">
        <v>2197</v>
      </c>
    </row>
    <row r="58" spans="1:2" x14ac:dyDescent="0.2">
      <c r="A58" s="1" t="s">
        <v>1444</v>
      </c>
      <c r="B58" s="1" t="s">
        <v>2197</v>
      </c>
    </row>
    <row r="59" spans="1:2" x14ac:dyDescent="0.2">
      <c r="A59" s="1" t="s">
        <v>1488</v>
      </c>
      <c r="B59" s="1" t="s">
        <v>2197</v>
      </c>
    </row>
    <row r="60" spans="1:2" x14ac:dyDescent="0.2">
      <c r="A60" s="1" t="s">
        <v>1524</v>
      </c>
      <c r="B60" s="1" t="s">
        <v>2195</v>
      </c>
    </row>
    <row r="61" spans="1:2" x14ac:dyDescent="0.2">
      <c r="A61" s="1" t="s">
        <v>1550</v>
      </c>
      <c r="B61" s="1" t="s">
        <v>2196</v>
      </c>
    </row>
    <row r="62" spans="1:2" x14ac:dyDescent="0.2">
      <c r="A62" s="1" t="s">
        <v>1574</v>
      </c>
      <c r="B62" s="1" t="s">
        <v>2195</v>
      </c>
    </row>
    <row r="63" spans="1:2" x14ac:dyDescent="0.2">
      <c r="A63" s="1" t="s">
        <v>1577</v>
      </c>
      <c r="B63" s="1" t="s">
        <v>2195</v>
      </c>
    </row>
    <row r="64" spans="1:2" x14ac:dyDescent="0.2">
      <c r="A64" s="1" t="s">
        <v>1647</v>
      </c>
      <c r="B64" s="1" t="s">
        <v>2196</v>
      </c>
    </row>
    <row r="65" spans="1:2" x14ac:dyDescent="0.2">
      <c r="A65" s="1" t="s">
        <v>1651</v>
      </c>
      <c r="B65" s="1" t="s">
        <v>2195</v>
      </c>
    </row>
    <row r="66" spans="1:2" x14ac:dyDescent="0.2">
      <c r="A66" s="1" t="s">
        <v>1675</v>
      </c>
      <c r="B66" s="1" t="s">
        <v>2197</v>
      </c>
    </row>
    <row r="67" spans="1:2" x14ac:dyDescent="0.2">
      <c r="A67" s="1" t="s">
        <v>1679</v>
      </c>
      <c r="B67" s="1" t="s">
        <v>2197</v>
      </c>
    </row>
    <row r="68" spans="1:2" x14ac:dyDescent="0.2">
      <c r="A68" s="1" t="s">
        <v>1695</v>
      </c>
      <c r="B68" s="1" t="s">
        <v>2197</v>
      </c>
    </row>
    <row r="69" spans="1:2" x14ac:dyDescent="0.2">
      <c r="A69" s="1" t="s">
        <v>1767</v>
      </c>
      <c r="B69" s="1" t="s">
        <v>2197</v>
      </c>
    </row>
    <row r="70" spans="1:2" x14ac:dyDescent="0.2">
      <c r="A70" s="1" t="s">
        <v>1809</v>
      </c>
      <c r="B70" s="1" t="s">
        <v>2194</v>
      </c>
    </row>
    <row r="71" spans="1:2" x14ac:dyDescent="0.2">
      <c r="A71" s="1" t="s">
        <v>1917</v>
      </c>
      <c r="B71" s="1" t="s">
        <v>2196</v>
      </c>
    </row>
    <row r="72" spans="1:2" x14ac:dyDescent="0.2">
      <c r="A72" s="1" t="s">
        <v>1936</v>
      </c>
      <c r="B72" s="1" t="s">
        <v>2195</v>
      </c>
    </row>
    <row r="73" spans="1:2" x14ac:dyDescent="0.2">
      <c r="A73" s="1" t="s">
        <v>1940</v>
      </c>
      <c r="B73" s="1" t="s">
        <v>2197</v>
      </c>
    </row>
    <row r="74" spans="1:2" x14ac:dyDescent="0.2">
      <c r="A74" s="1" t="s">
        <v>1960</v>
      </c>
      <c r="B74" s="1" t="s">
        <v>2195</v>
      </c>
    </row>
    <row r="75" spans="1:2" x14ac:dyDescent="0.2">
      <c r="A75" s="1" t="s">
        <v>1964</v>
      </c>
      <c r="B75" s="1" t="s">
        <v>2194</v>
      </c>
    </row>
    <row r="76" spans="1:2" x14ac:dyDescent="0.2">
      <c r="A76" s="1" t="s">
        <v>2004</v>
      </c>
      <c r="B76" s="1" t="s">
        <v>2194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5E85-EB1B-7847-8C55-289E2A1644D9}">
  <dimension ref="A3:H75"/>
  <sheetViews>
    <sheetView topLeftCell="A34" workbookViewId="0">
      <selection activeCell="M51" sqref="M51"/>
    </sheetView>
  </sheetViews>
  <sheetFormatPr baseColWidth="10" defaultRowHeight="16" x14ac:dyDescent="0.2"/>
  <cols>
    <col min="1" max="1" width="24.5" bestFit="1" customWidth="1"/>
    <col min="2" max="2" width="15.6640625" bestFit="1" customWidth="1"/>
    <col min="3" max="3" width="4.5" bestFit="1" customWidth="1"/>
    <col min="4" max="4" width="9" bestFit="1" customWidth="1"/>
    <col min="5" max="5" width="10.5" bestFit="1" customWidth="1"/>
    <col min="6" max="6" width="9.5" bestFit="1" customWidth="1"/>
    <col min="7" max="7" width="4.5" bestFit="1" customWidth="1"/>
    <col min="8" max="8" width="9" bestFit="1" customWidth="1"/>
    <col min="9" max="9" width="11.83203125" bestFit="1" customWidth="1"/>
    <col min="10" max="10" width="11.6640625" bestFit="1" customWidth="1"/>
    <col min="11" max="11" width="4.5" bestFit="1" customWidth="1"/>
    <col min="12" max="12" width="9" bestFit="1" customWidth="1"/>
    <col min="13" max="13" width="14" bestFit="1" customWidth="1"/>
    <col min="14" max="14" width="10.5" bestFit="1" customWidth="1"/>
  </cols>
  <sheetData>
    <row r="3" spans="1:5" x14ac:dyDescent="0.2">
      <c r="A3" s="10" t="s">
        <v>2203</v>
      </c>
      <c r="B3" t="s">
        <v>2205</v>
      </c>
      <c r="D3" t="s">
        <v>2206</v>
      </c>
      <c r="E3" s="12">
        <f>B4/B7</f>
        <v>7.4999999999999997E-2</v>
      </c>
    </row>
    <row r="4" spans="1:5" x14ac:dyDescent="0.2">
      <c r="A4" s="11" t="s">
        <v>58</v>
      </c>
      <c r="B4" s="23">
        <v>75</v>
      </c>
    </row>
    <row r="5" spans="1:5" x14ac:dyDescent="0.2">
      <c r="A5" s="11" t="s">
        <v>12</v>
      </c>
      <c r="B5" s="23">
        <v>131</v>
      </c>
    </row>
    <row r="6" spans="1:5" x14ac:dyDescent="0.2">
      <c r="A6" s="11" t="s">
        <v>16</v>
      </c>
      <c r="B6" s="23">
        <v>794</v>
      </c>
    </row>
    <row r="7" spans="1:5" x14ac:dyDescent="0.2">
      <c r="A7" s="11" t="s">
        <v>2204</v>
      </c>
      <c r="B7" s="23">
        <v>1000</v>
      </c>
    </row>
    <row r="11" spans="1:5" x14ac:dyDescent="0.2">
      <c r="A11" s="10" t="s">
        <v>2203</v>
      </c>
      <c r="B11" t="s">
        <v>2207</v>
      </c>
    </row>
    <row r="12" spans="1:5" x14ac:dyDescent="0.2">
      <c r="A12" s="11" t="s">
        <v>34</v>
      </c>
      <c r="B12" s="23">
        <v>134</v>
      </c>
    </row>
    <row r="13" spans="1:5" x14ac:dyDescent="0.2">
      <c r="A13" s="11" t="s">
        <v>42</v>
      </c>
      <c r="B13" s="23">
        <v>128</v>
      </c>
    </row>
    <row r="14" spans="1:5" x14ac:dyDescent="0.2">
      <c r="A14" s="11" t="s">
        <v>31</v>
      </c>
      <c r="B14" s="23">
        <v>149</v>
      </c>
    </row>
    <row r="15" spans="1:5" x14ac:dyDescent="0.2">
      <c r="A15" s="11" t="s">
        <v>53</v>
      </c>
      <c r="B15" s="23">
        <v>133</v>
      </c>
    </row>
    <row r="16" spans="1:5" x14ac:dyDescent="0.2">
      <c r="A16" s="11" t="s">
        <v>10</v>
      </c>
      <c r="B16" s="23">
        <v>104</v>
      </c>
    </row>
    <row r="17" spans="1:8" x14ac:dyDescent="0.2">
      <c r="A17" s="11" t="s">
        <v>19</v>
      </c>
      <c r="B17" s="23">
        <v>119</v>
      </c>
    </row>
    <row r="18" spans="1:8" x14ac:dyDescent="0.2">
      <c r="A18" s="11" t="s">
        <v>27</v>
      </c>
      <c r="B18" s="23">
        <v>108</v>
      </c>
    </row>
    <row r="19" spans="1:8" x14ac:dyDescent="0.2">
      <c r="A19" s="11" t="s">
        <v>75</v>
      </c>
      <c r="B19" s="23">
        <v>125</v>
      </c>
    </row>
    <row r="20" spans="1:8" x14ac:dyDescent="0.2">
      <c r="A20" s="11" t="s">
        <v>2204</v>
      </c>
      <c r="B20" s="23">
        <v>1000</v>
      </c>
      <c r="G20" s="13" t="s">
        <v>2221</v>
      </c>
      <c r="H20">
        <f>SUM(B4:B7)/2</f>
        <v>1000</v>
      </c>
    </row>
    <row r="21" spans="1:8" x14ac:dyDescent="0.2">
      <c r="G21" s="13" t="s">
        <v>2222</v>
      </c>
      <c r="H21" s="14" cm="1">
        <f t="array" ref="H21">SUM(B43:B45/2)</f>
        <v>1300053.3599999966</v>
      </c>
    </row>
    <row r="22" spans="1:8" x14ac:dyDescent="0.2">
      <c r="G22" s="13" t="s">
        <v>2223</v>
      </c>
      <c r="H22" s="15">
        <f>A65</f>
        <v>17.873513513418366</v>
      </c>
    </row>
    <row r="23" spans="1:8" x14ac:dyDescent="0.2">
      <c r="G23" s="13" t="s">
        <v>2224</v>
      </c>
      <c r="H23" s="12">
        <f>E3</f>
        <v>7.4999999999999997E-2</v>
      </c>
    </row>
    <row r="24" spans="1:8" x14ac:dyDescent="0.2">
      <c r="G24" s="13"/>
    </row>
    <row r="25" spans="1:8" x14ac:dyDescent="0.2">
      <c r="A25" s="10" t="s">
        <v>2203</v>
      </c>
      <c r="B25" t="s">
        <v>2211</v>
      </c>
    </row>
    <row r="26" spans="1:8" x14ac:dyDescent="0.2">
      <c r="A26" s="11" t="s">
        <v>2208</v>
      </c>
      <c r="B26" s="23">
        <v>416</v>
      </c>
    </row>
    <row r="27" spans="1:8" x14ac:dyDescent="0.2">
      <c r="A27" s="11" t="s">
        <v>2209</v>
      </c>
      <c r="B27" s="23">
        <v>168</v>
      </c>
    </row>
    <row r="28" spans="1:8" x14ac:dyDescent="0.2">
      <c r="A28" s="11" t="s">
        <v>2210</v>
      </c>
      <c r="B28" s="23">
        <v>416</v>
      </c>
    </row>
    <row r="29" spans="1:8" x14ac:dyDescent="0.2">
      <c r="A29" s="11" t="s">
        <v>2204</v>
      </c>
      <c r="B29" s="23">
        <v>1000</v>
      </c>
    </row>
    <row r="32" spans="1:8" x14ac:dyDescent="0.2">
      <c r="A32" s="10" t="s">
        <v>2203</v>
      </c>
      <c r="B32" t="s">
        <v>2212</v>
      </c>
    </row>
    <row r="33" spans="1:2" x14ac:dyDescent="0.2">
      <c r="A33" s="11" t="s">
        <v>15</v>
      </c>
      <c r="B33" s="23">
        <v>157</v>
      </c>
    </row>
    <row r="34" spans="1:2" x14ac:dyDescent="0.2">
      <c r="A34" s="11" t="s">
        <v>28</v>
      </c>
      <c r="B34" s="23">
        <v>178</v>
      </c>
    </row>
    <row r="35" spans="1:2" x14ac:dyDescent="0.2">
      <c r="A35" s="11" t="s">
        <v>80</v>
      </c>
      <c r="B35" s="23">
        <v>157</v>
      </c>
    </row>
    <row r="36" spans="1:2" x14ac:dyDescent="0.2">
      <c r="A36" s="11" t="s">
        <v>20</v>
      </c>
      <c r="B36" s="23">
        <v>170</v>
      </c>
    </row>
    <row r="37" spans="1:2" x14ac:dyDescent="0.2">
      <c r="A37" s="11" t="s">
        <v>39</v>
      </c>
      <c r="B37" s="23">
        <v>175</v>
      </c>
    </row>
    <row r="38" spans="1:2" x14ac:dyDescent="0.2">
      <c r="A38" s="11" t="s">
        <v>11</v>
      </c>
      <c r="B38" s="23">
        <v>163</v>
      </c>
    </row>
    <row r="39" spans="1:2" x14ac:dyDescent="0.2">
      <c r="A39" s="11" t="s">
        <v>2204</v>
      </c>
      <c r="B39" s="23">
        <v>1000</v>
      </c>
    </row>
    <row r="42" spans="1:2" x14ac:dyDescent="0.2">
      <c r="A42" s="10" t="s">
        <v>2203</v>
      </c>
      <c r="B42" t="s">
        <v>2215</v>
      </c>
    </row>
    <row r="43" spans="1:2" x14ac:dyDescent="0.2">
      <c r="A43" s="11" t="s">
        <v>2213</v>
      </c>
      <c r="B43" s="23">
        <v>1250831.5199999965</v>
      </c>
    </row>
    <row r="44" spans="1:2" x14ac:dyDescent="0.2">
      <c r="A44" s="11" t="s">
        <v>2214</v>
      </c>
      <c r="B44" s="23">
        <v>49221.840000000004</v>
      </c>
    </row>
    <row r="45" spans="1:2" x14ac:dyDescent="0.2">
      <c r="A45" s="11" t="s">
        <v>2204</v>
      </c>
      <c r="B45" s="23">
        <v>1300053.3599999966</v>
      </c>
    </row>
    <row r="48" spans="1:2" x14ac:dyDescent="0.2">
      <c r="A48" s="10" t="s">
        <v>2203</v>
      </c>
      <c r="B48" t="s">
        <v>2219</v>
      </c>
    </row>
    <row r="49" spans="1:2" x14ac:dyDescent="0.2">
      <c r="A49" s="11" t="s">
        <v>2216</v>
      </c>
      <c r="B49" s="23">
        <v>280</v>
      </c>
    </row>
    <row r="50" spans="1:2" x14ac:dyDescent="0.2">
      <c r="A50" s="11" t="s">
        <v>2217</v>
      </c>
      <c r="B50" s="23">
        <v>580</v>
      </c>
    </row>
    <row r="51" spans="1:2" x14ac:dyDescent="0.2">
      <c r="A51" s="11" t="s">
        <v>2218</v>
      </c>
      <c r="B51" s="23">
        <v>140</v>
      </c>
    </row>
    <row r="52" spans="1:2" x14ac:dyDescent="0.2">
      <c r="A52" s="11" t="s">
        <v>2204</v>
      </c>
      <c r="B52" s="23">
        <v>1000</v>
      </c>
    </row>
    <row r="55" spans="1:2" x14ac:dyDescent="0.2">
      <c r="A55" s="10" t="s">
        <v>2203</v>
      </c>
      <c r="B55" t="s">
        <v>2220</v>
      </c>
    </row>
    <row r="56" spans="1:2" x14ac:dyDescent="0.2">
      <c r="A56" s="11" t="s">
        <v>2195</v>
      </c>
      <c r="B56">
        <v>24</v>
      </c>
    </row>
    <row r="57" spans="1:2" x14ac:dyDescent="0.2">
      <c r="A57" s="11" t="s">
        <v>2194</v>
      </c>
      <c r="B57">
        <v>9</v>
      </c>
    </row>
    <row r="58" spans="1:2" x14ac:dyDescent="0.2">
      <c r="A58" s="11" t="s">
        <v>2196</v>
      </c>
      <c r="B58">
        <v>20</v>
      </c>
    </row>
    <row r="59" spans="1:2" x14ac:dyDescent="0.2">
      <c r="A59" s="11" t="s">
        <v>2197</v>
      </c>
      <c r="B59">
        <v>22</v>
      </c>
    </row>
    <row r="60" spans="1:2" x14ac:dyDescent="0.2">
      <c r="A60" s="11" t="s">
        <v>2204</v>
      </c>
      <c r="B60">
        <v>75</v>
      </c>
    </row>
    <row r="64" spans="1:2" x14ac:dyDescent="0.2">
      <c r="A64" t="s">
        <v>2225</v>
      </c>
    </row>
    <row r="65" spans="1:5" x14ac:dyDescent="0.2">
      <c r="A65" s="23">
        <v>17.873513513418366</v>
      </c>
    </row>
    <row r="70" spans="1:5" x14ac:dyDescent="0.2">
      <c r="A70" s="10" t="s">
        <v>2219</v>
      </c>
      <c r="B70" s="10" t="s">
        <v>2227</v>
      </c>
    </row>
    <row r="71" spans="1:5" x14ac:dyDescent="0.2">
      <c r="A71" s="10" t="s">
        <v>2203</v>
      </c>
      <c r="B71" t="s">
        <v>2208</v>
      </c>
      <c r="C71" t="s">
        <v>2209</v>
      </c>
      <c r="D71" t="s">
        <v>2210</v>
      </c>
      <c r="E71" t="s">
        <v>2204</v>
      </c>
    </row>
    <row r="72" spans="1:5" x14ac:dyDescent="0.2">
      <c r="A72" s="11" t="s">
        <v>2216</v>
      </c>
      <c r="B72">
        <v>115</v>
      </c>
      <c r="C72">
        <v>48</v>
      </c>
      <c r="D72">
        <v>117</v>
      </c>
      <c r="E72">
        <v>280</v>
      </c>
    </row>
    <row r="73" spans="1:5" x14ac:dyDescent="0.2">
      <c r="A73" s="11" t="s">
        <v>2217</v>
      </c>
      <c r="B73">
        <v>235</v>
      </c>
      <c r="C73">
        <v>102</v>
      </c>
      <c r="D73">
        <v>243</v>
      </c>
      <c r="E73">
        <v>580</v>
      </c>
    </row>
    <row r="74" spans="1:5" x14ac:dyDescent="0.2">
      <c r="A74" s="11" t="s">
        <v>2218</v>
      </c>
      <c r="B74">
        <v>66</v>
      </c>
      <c r="C74">
        <v>18</v>
      </c>
      <c r="D74">
        <v>56</v>
      </c>
      <c r="E74">
        <v>140</v>
      </c>
    </row>
    <row r="75" spans="1:5" x14ac:dyDescent="0.2">
      <c r="A75" s="11" t="s">
        <v>2204</v>
      </c>
      <c r="B75">
        <v>416</v>
      </c>
      <c r="C75">
        <v>168</v>
      </c>
      <c r="D75">
        <v>416</v>
      </c>
      <c r="E75">
        <v>1000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FA8A2-FC3F-B14D-ACE2-1FFC715C0672}">
  <sheetPr>
    <tabColor theme="1"/>
  </sheetPr>
  <dimension ref="A1:X48"/>
  <sheetViews>
    <sheetView zoomScale="75" workbookViewId="0">
      <selection sqref="A1:D48"/>
    </sheetView>
  </sheetViews>
  <sheetFormatPr baseColWidth="10" defaultRowHeight="16" x14ac:dyDescent="0.2"/>
  <sheetData>
    <row r="1" spans="1:24" x14ac:dyDescent="0.2">
      <c r="A1" s="20"/>
      <c r="B1" s="20"/>
      <c r="C1" s="20"/>
      <c r="D1" s="20"/>
      <c r="E1" s="19" t="s">
        <v>2226</v>
      </c>
      <c r="F1" s="19"/>
      <c r="G1" s="19"/>
      <c r="H1" s="19"/>
      <c r="I1" s="19"/>
      <c r="J1" s="19"/>
      <c r="K1" s="19"/>
      <c r="L1" s="19"/>
      <c r="M1" s="19"/>
      <c r="N1" s="19"/>
      <c r="O1" s="19"/>
      <c r="P1" s="19"/>
      <c r="Q1" s="19"/>
      <c r="R1" s="19"/>
      <c r="S1" s="19"/>
      <c r="T1" s="19"/>
      <c r="U1" s="19"/>
      <c r="V1" s="17"/>
      <c r="W1" s="17"/>
      <c r="X1" s="17"/>
    </row>
    <row r="2" spans="1:24" x14ac:dyDescent="0.2">
      <c r="A2" s="20"/>
      <c r="B2" s="20"/>
      <c r="C2" s="20"/>
      <c r="D2" s="20"/>
      <c r="E2" s="19"/>
      <c r="F2" s="19"/>
      <c r="G2" s="19"/>
      <c r="H2" s="19"/>
      <c r="I2" s="19"/>
      <c r="J2" s="19"/>
      <c r="K2" s="19"/>
      <c r="L2" s="19"/>
      <c r="M2" s="19"/>
      <c r="N2" s="19"/>
      <c r="O2" s="19"/>
      <c r="P2" s="19"/>
      <c r="Q2" s="19"/>
      <c r="R2" s="19"/>
      <c r="S2" s="19"/>
      <c r="T2" s="19"/>
      <c r="U2" s="19"/>
      <c r="V2" s="17"/>
      <c r="W2" s="17"/>
      <c r="X2" s="17"/>
    </row>
    <row r="3" spans="1:24" x14ac:dyDescent="0.2">
      <c r="A3" s="20"/>
      <c r="B3" s="20"/>
      <c r="C3" s="20"/>
      <c r="D3" s="20"/>
      <c r="E3" s="19"/>
      <c r="F3" s="19"/>
      <c r="G3" s="19"/>
      <c r="H3" s="19"/>
      <c r="I3" s="19"/>
      <c r="J3" s="19"/>
      <c r="K3" s="19"/>
      <c r="L3" s="19"/>
      <c r="M3" s="19"/>
      <c r="N3" s="19"/>
      <c r="O3" s="19"/>
      <c r="P3" s="19"/>
      <c r="Q3" s="19"/>
      <c r="R3" s="19"/>
      <c r="S3" s="19"/>
      <c r="T3" s="19"/>
      <c r="U3" s="19"/>
      <c r="V3" s="17"/>
      <c r="W3" s="17"/>
      <c r="X3" s="17"/>
    </row>
    <row r="4" spans="1:24" x14ac:dyDescent="0.2">
      <c r="A4" s="20"/>
      <c r="B4" s="20"/>
      <c r="C4" s="20"/>
      <c r="D4" s="20"/>
      <c r="E4" s="19"/>
      <c r="F4" s="19"/>
      <c r="G4" s="19"/>
      <c r="H4" s="19"/>
      <c r="I4" s="19"/>
      <c r="J4" s="19"/>
      <c r="K4" s="19"/>
      <c r="L4" s="19"/>
      <c r="M4" s="19"/>
      <c r="N4" s="19"/>
      <c r="O4" s="19"/>
      <c r="P4" s="19"/>
      <c r="Q4" s="19"/>
      <c r="R4" s="19"/>
      <c r="S4" s="19"/>
      <c r="T4" s="19"/>
      <c r="U4" s="19"/>
      <c r="V4" s="17"/>
      <c r="W4" s="17"/>
      <c r="X4" s="17"/>
    </row>
    <row r="5" spans="1:24" x14ac:dyDescent="0.2">
      <c r="A5" s="20"/>
      <c r="B5" s="20"/>
      <c r="C5" s="20"/>
      <c r="D5" s="20"/>
      <c r="E5" s="17"/>
      <c r="F5" s="17"/>
      <c r="G5" s="17"/>
      <c r="H5" s="17"/>
      <c r="I5" s="17"/>
      <c r="J5" s="17"/>
      <c r="K5" s="17"/>
      <c r="L5" s="17"/>
      <c r="M5" s="17"/>
      <c r="N5" s="17"/>
      <c r="O5" s="17"/>
      <c r="P5" s="17"/>
      <c r="Q5" s="17"/>
      <c r="R5" s="17"/>
      <c r="S5" s="17"/>
      <c r="T5" s="17"/>
      <c r="U5" s="17"/>
      <c r="V5" s="17"/>
      <c r="W5" s="17"/>
      <c r="X5" s="17"/>
    </row>
    <row r="6" spans="1:24" x14ac:dyDescent="0.2">
      <c r="A6" s="20"/>
      <c r="B6" s="20"/>
      <c r="C6" s="20"/>
      <c r="D6" s="20"/>
      <c r="E6" s="18"/>
      <c r="F6" s="18"/>
      <c r="G6" s="18"/>
      <c r="H6" s="18"/>
      <c r="I6" s="18"/>
      <c r="J6" s="18"/>
      <c r="K6" s="18"/>
      <c r="L6" s="18"/>
      <c r="M6" s="18"/>
      <c r="N6" s="18"/>
      <c r="O6" s="18"/>
      <c r="P6" s="18"/>
      <c r="Q6" s="18"/>
      <c r="R6" s="18"/>
      <c r="S6" s="18"/>
      <c r="T6" s="18"/>
      <c r="U6" s="18"/>
      <c r="V6" s="17"/>
      <c r="W6" s="17"/>
      <c r="X6" s="17"/>
    </row>
    <row r="7" spans="1:24" x14ac:dyDescent="0.2">
      <c r="A7" s="20"/>
      <c r="B7" s="20"/>
      <c r="C7" s="20"/>
      <c r="D7" s="20"/>
      <c r="E7" s="18"/>
      <c r="F7" s="18"/>
      <c r="G7" s="18"/>
      <c r="H7" s="18"/>
      <c r="I7" s="18"/>
      <c r="J7" s="18"/>
      <c r="K7" s="18"/>
      <c r="L7" s="18"/>
      <c r="M7" s="18"/>
      <c r="N7" s="18"/>
      <c r="O7" s="18"/>
      <c r="P7" s="18"/>
      <c r="Q7" s="18"/>
      <c r="R7" s="18"/>
      <c r="S7" s="18"/>
      <c r="T7" s="18"/>
      <c r="U7" s="18"/>
      <c r="V7" s="17"/>
      <c r="W7" s="17"/>
      <c r="X7" s="17"/>
    </row>
    <row r="8" spans="1:24" x14ac:dyDescent="0.2">
      <c r="A8" s="20"/>
      <c r="B8" s="20"/>
      <c r="C8" s="20"/>
      <c r="D8" s="20"/>
      <c r="E8" s="18"/>
      <c r="F8" s="18"/>
      <c r="G8" s="18"/>
      <c r="H8" s="18"/>
      <c r="I8" s="18"/>
      <c r="J8" s="18"/>
      <c r="K8" s="18"/>
      <c r="L8" s="18"/>
      <c r="M8" s="18"/>
      <c r="N8" s="18"/>
      <c r="O8" s="18"/>
      <c r="P8" s="18"/>
      <c r="Q8" s="18"/>
      <c r="R8" s="18"/>
      <c r="S8" s="18"/>
      <c r="T8" s="18"/>
      <c r="U8" s="18"/>
      <c r="V8" s="17"/>
      <c r="W8" s="17"/>
      <c r="X8" s="17"/>
    </row>
    <row r="9" spans="1:24" x14ac:dyDescent="0.2">
      <c r="A9" s="20"/>
      <c r="B9" s="20"/>
      <c r="C9" s="20"/>
      <c r="D9" s="20"/>
      <c r="E9" s="18"/>
      <c r="F9" s="18"/>
      <c r="G9" s="18"/>
      <c r="H9" s="18"/>
      <c r="I9" s="18"/>
      <c r="J9" s="18"/>
      <c r="K9" s="18"/>
      <c r="L9" s="18"/>
      <c r="M9" s="18"/>
      <c r="N9" s="18"/>
      <c r="O9" s="18"/>
      <c r="P9" s="18"/>
      <c r="Q9" s="18"/>
      <c r="R9" s="18"/>
      <c r="S9" s="18"/>
      <c r="T9" s="18"/>
      <c r="U9" s="18"/>
      <c r="V9" s="17"/>
      <c r="W9" s="17"/>
      <c r="X9" s="17"/>
    </row>
    <row r="10" spans="1:24" x14ac:dyDescent="0.2">
      <c r="A10" s="20"/>
      <c r="B10" s="20"/>
      <c r="C10" s="20"/>
      <c r="D10" s="20"/>
      <c r="E10" s="18"/>
      <c r="F10" s="18"/>
      <c r="G10" s="18"/>
      <c r="H10" s="18"/>
      <c r="I10" s="18"/>
      <c r="J10" s="18"/>
      <c r="K10" s="18"/>
      <c r="L10" s="18"/>
      <c r="M10" s="18"/>
      <c r="N10" s="18"/>
      <c r="O10" s="18"/>
      <c r="P10" s="18"/>
      <c r="Q10" s="18"/>
      <c r="R10" s="18"/>
      <c r="S10" s="18"/>
      <c r="T10" s="18"/>
      <c r="U10" s="18"/>
      <c r="V10" s="17"/>
      <c r="W10" s="17"/>
      <c r="X10" s="17"/>
    </row>
    <row r="11" spans="1:24" x14ac:dyDescent="0.2">
      <c r="A11" s="20"/>
      <c r="B11" s="20"/>
      <c r="C11" s="20"/>
      <c r="D11" s="20"/>
      <c r="E11" s="18"/>
      <c r="F11" s="18"/>
      <c r="G11" s="18"/>
      <c r="H11" s="18"/>
      <c r="I11" s="18"/>
      <c r="J11" s="18"/>
      <c r="K11" s="18"/>
      <c r="L11" s="18"/>
      <c r="M11" s="18"/>
      <c r="N11" s="18"/>
      <c r="O11" s="18"/>
      <c r="P11" s="18"/>
      <c r="Q11" s="18"/>
      <c r="R11" s="18"/>
      <c r="S11" s="18"/>
      <c r="T11" s="18"/>
      <c r="U11" s="18"/>
      <c r="V11" s="17"/>
      <c r="W11" s="17"/>
      <c r="X11" s="17"/>
    </row>
    <row r="12" spans="1:24" x14ac:dyDescent="0.2">
      <c r="A12" s="20"/>
      <c r="B12" s="20"/>
      <c r="C12" s="20"/>
      <c r="D12" s="20"/>
      <c r="E12" s="18"/>
      <c r="F12" s="18"/>
      <c r="G12" s="18"/>
      <c r="H12" s="18"/>
      <c r="I12" s="18"/>
      <c r="J12" s="18"/>
      <c r="K12" s="18"/>
      <c r="L12" s="18"/>
      <c r="M12" s="18"/>
      <c r="N12" s="18"/>
      <c r="O12" s="18"/>
      <c r="P12" s="18"/>
      <c r="Q12" s="18"/>
      <c r="R12" s="18"/>
      <c r="S12" s="18"/>
      <c r="T12" s="18"/>
      <c r="U12" s="18"/>
      <c r="V12" s="17"/>
      <c r="W12" s="17"/>
      <c r="X12" s="17"/>
    </row>
    <row r="13" spans="1:24" x14ac:dyDescent="0.2">
      <c r="A13" s="20"/>
      <c r="B13" s="20"/>
      <c r="C13" s="20"/>
      <c r="D13" s="20"/>
      <c r="E13" s="18"/>
      <c r="F13" s="18"/>
      <c r="G13" s="18"/>
      <c r="H13" s="18"/>
      <c r="I13" s="18"/>
      <c r="J13" s="18"/>
      <c r="K13" s="18"/>
      <c r="L13" s="18"/>
      <c r="M13" s="18"/>
      <c r="N13" s="18"/>
      <c r="O13" s="18"/>
      <c r="P13" s="18"/>
      <c r="Q13" s="18"/>
      <c r="R13" s="18"/>
      <c r="S13" s="18"/>
      <c r="T13" s="18"/>
      <c r="U13" s="18"/>
      <c r="V13" s="17"/>
      <c r="W13" s="17"/>
      <c r="X13" s="17"/>
    </row>
    <row r="14" spans="1:24" x14ac:dyDescent="0.2">
      <c r="A14" s="20"/>
      <c r="B14" s="20"/>
      <c r="C14" s="20"/>
      <c r="D14" s="20"/>
      <c r="E14" s="18"/>
      <c r="F14" s="18"/>
      <c r="G14" s="18"/>
      <c r="H14" s="18"/>
      <c r="I14" s="18"/>
      <c r="J14" s="18"/>
      <c r="K14" s="18"/>
      <c r="L14" s="18"/>
      <c r="M14" s="18"/>
      <c r="N14" s="18"/>
      <c r="O14" s="18"/>
      <c r="P14" s="18"/>
      <c r="Q14" s="18"/>
      <c r="R14" s="18"/>
      <c r="S14" s="18"/>
      <c r="T14" s="18"/>
      <c r="U14" s="18"/>
      <c r="V14" s="17"/>
      <c r="W14" s="17"/>
      <c r="X14" s="17"/>
    </row>
    <row r="15" spans="1:24" x14ac:dyDescent="0.2">
      <c r="A15" s="20"/>
      <c r="B15" s="20"/>
      <c r="C15" s="20"/>
      <c r="D15" s="20"/>
      <c r="E15" s="18"/>
      <c r="F15" s="18"/>
      <c r="G15" s="18"/>
      <c r="H15" s="18"/>
      <c r="I15" s="18"/>
      <c r="J15" s="18"/>
      <c r="K15" s="18"/>
      <c r="L15" s="18"/>
      <c r="M15" s="18"/>
      <c r="N15" s="18"/>
      <c r="O15" s="18"/>
      <c r="P15" s="18"/>
      <c r="Q15" s="18"/>
      <c r="R15" s="18"/>
      <c r="S15" s="18"/>
      <c r="T15" s="18"/>
      <c r="U15" s="18"/>
      <c r="V15" s="17"/>
      <c r="W15" s="17"/>
      <c r="X15" s="17"/>
    </row>
    <row r="16" spans="1:24" x14ac:dyDescent="0.2">
      <c r="A16" s="20"/>
      <c r="B16" s="20"/>
      <c r="C16" s="20"/>
      <c r="D16" s="20"/>
      <c r="E16" s="18"/>
      <c r="F16" s="18"/>
      <c r="G16" s="18"/>
      <c r="H16" s="18"/>
      <c r="I16" s="18"/>
      <c r="J16" s="18"/>
      <c r="K16" s="18"/>
      <c r="L16" s="18"/>
      <c r="M16" s="18"/>
      <c r="N16" s="18"/>
      <c r="O16" s="18"/>
      <c r="P16" s="18"/>
      <c r="Q16" s="18"/>
      <c r="R16" s="18"/>
      <c r="S16" s="18"/>
      <c r="T16" s="18"/>
      <c r="U16" s="18"/>
      <c r="V16" s="17"/>
      <c r="W16" s="17"/>
      <c r="X16" s="17"/>
    </row>
    <row r="17" spans="1:24" x14ac:dyDescent="0.2">
      <c r="A17" s="20"/>
      <c r="B17" s="20"/>
      <c r="C17" s="20"/>
      <c r="D17" s="20"/>
      <c r="E17" s="18"/>
      <c r="F17" s="18"/>
      <c r="G17" s="18"/>
      <c r="H17" s="18"/>
      <c r="I17" s="18"/>
      <c r="J17" s="18"/>
      <c r="K17" s="18"/>
      <c r="L17" s="18"/>
      <c r="M17" s="18"/>
      <c r="N17" s="18"/>
      <c r="O17" s="18"/>
      <c r="P17" s="18"/>
      <c r="Q17" s="18"/>
      <c r="R17" s="18"/>
      <c r="S17" s="18"/>
      <c r="T17" s="18"/>
      <c r="U17" s="18"/>
      <c r="V17" s="17"/>
      <c r="W17" s="17"/>
      <c r="X17" s="17"/>
    </row>
    <row r="18" spans="1:24" x14ac:dyDescent="0.2">
      <c r="A18" s="20"/>
      <c r="B18" s="20"/>
      <c r="C18" s="20"/>
      <c r="D18" s="20"/>
      <c r="E18" s="18"/>
      <c r="F18" s="18"/>
      <c r="G18" s="18"/>
      <c r="H18" s="18"/>
      <c r="I18" s="18"/>
      <c r="J18" s="18"/>
      <c r="K18" s="18"/>
      <c r="L18" s="18"/>
      <c r="M18" s="18"/>
      <c r="N18" s="18"/>
      <c r="O18" s="18"/>
      <c r="P18" s="18"/>
      <c r="Q18" s="18"/>
      <c r="R18" s="18"/>
      <c r="S18" s="18"/>
      <c r="T18" s="18"/>
      <c r="U18" s="18"/>
      <c r="V18" s="17"/>
      <c r="W18" s="17"/>
      <c r="X18" s="17"/>
    </row>
    <row r="19" spans="1:24" x14ac:dyDescent="0.2">
      <c r="A19" s="20"/>
      <c r="B19" s="20"/>
      <c r="C19" s="20"/>
      <c r="D19" s="20"/>
      <c r="E19" s="18"/>
      <c r="F19" s="18"/>
      <c r="G19" s="18"/>
      <c r="H19" s="18"/>
      <c r="I19" s="18"/>
      <c r="J19" s="18"/>
      <c r="K19" s="18"/>
      <c r="L19" s="18"/>
      <c r="M19" s="18"/>
      <c r="N19" s="18"/>
      <c r="O19" s="18"/>
      <c r="P19" s="18"/>
      <c r="Q19" s="18"/>
      <c r="R19" s="18"/>
      <c r="S19" s="18"/>
      <c r="T19" s="18"/>
      <c r="U19" s="18"/>
      <c r="V19" s="17"/>
      <c r="W19" s="17"/>
      <c r="X19" s="17"/>
    </row>
    <row r="20" spans="1:24" x14ac:dyDescent="0.2">
      <c r="A20" s="20"/>
      <c r="B20" s="20"/>
      <c r="C20" s="20"/>
      <c r="D20" s="20"/>
      <c r="E20" s="18"/>
      <c r="F20" s="18"/>
      <c r="G20" s="18"/>
      <c r="H20" s="18"/>
      <c r="I20" s="18"/>
      <c r="J20" s="18"/>
      <c r="K20" s="18"/>
      <c r="L20" s="18"/>
      <c r="M20" s="18"/>
      <c r="N20" s="18"/>
      <c r="O20" s="18"/>
      <c r="P20" s="18"/>
      <c r="Q20" s="18"/>
      <c r="R20" s="18"/>
      <c r="S20" s="18"/>
      <c r="T20" s="18"/>
      <c r="U20" s="18"/>
      <c r="V20" s="17"/>
      <c r="W20" s="17"/>
      <c r="X20" s="17"/>
    </row>
    <row r="21" spans="1:24" x14ac:dyDescent="0.2">
      <c r="A21" s="20"/>
      <c r="B21" s="20"/>
      <c r="C21" s="20"/>
      <c r="D21" s="20"/>
      <c r="E21" s="18"/>
      <c r="F21" s="18"/>
      <c r="G21" s="18"/>
      <c r="H21" s="18"/>
      <c r="I21" s="18"/>
      <c r="J21" s="18"/>
      <c r="K21" s="18"/>
      <c r="L21" s="18"/>
      <c r="M21" s="18"/>
      <c r="N21" s="18"/>
      <c r="O21" s="18"/>
      <c r="P21" s="18"/>
      <c r="Q21" s="18"/>
      <c r="R21" s="18"/>
      <c r="S21" s="18"/>
      <c r="T21" s="18"/>
      <c r="U21" s="18"/>
      <c r="V21" s="17"/>
      <c r="W21" s="17"/>
      <c r="X21" s="17"/>
    </row>
    <row r="22" spans="1:24" x14ac:dyDescent="0.2">
      <c r="A22" s="20"/>
      <c r="B22" s="20"/>
      <c r="C22" s="20"/>
      <c r="D22" s="20"/>
      <c r="E22" s="18"/>
      <c r="F22" s="18"/>
      <c r="G22" s="18"/>
      <c r="H22" s="18"/>
      <c r="I22" s="18"/>
      <c r="J22" s="18"/>
      <c r="K22" s="18"/>
      <c r="L22" s="18"/>
      <c r="M22" s="18"/>
      <c r="N22" s="18"/>
      <c r="O22" s="18"/>
      <c r="P22" s="18"/>
      <c r="Q22" s="18"/>
      <c r="R22" s="18"/>
      <c r="S22" s="18"/>
      <c r="T22" s="18"/>
      <c r="U22" s="18"/>
      <c r="V22" s="17"/>
      <c r="W22" s="17"/>
      <c r="X22" s="17"/>
    </row>
    <row r="23" spans="1:24" x14ac:dyDescent="0.2">
      <c r="A23" s="20"/>
      <c r="B23" s="20"/>
      <c r="C23" s="20"/>
      <c r="D23" s="20"/>
      <c r="E23" s="18"/>
      <c r="F23" s="18"/>
      <c r="G23" s="18"/>
      <c r="H23" s="18"/>
      <c r="I23" s="18"/>
      <c r="J23" s="18"/>
      <c r="K23" s="18"/>
      <c r="L23" s="18"/>
      <c r="M23" s="18"/>
      <c r="N23" s="18"/>
      <c r="O23" s="18"/>
      <c r="P23" s="18"/>
      <c r="Q23" s="18"/>
      <c r="R23" s="18"/>
      <c r="S23" s="18"/>
      <c r="T23" s="18"/>
      <c r="U23" s="18"/>
      <c r="V23" s="17"/>
      <c r="W23" s="17"/>
      <c r="X23" s="17"/>
    </row>
    <row r="24" spans="1:24" x14ac:dyDescent="0.2">
      <c r="A24" s="20"/>
      <c r="B24" s="20"/>
      <c r="C24" s="20"/>
      <c r="D24" s="20"/>
      <c r="E24" s="18"/>
      <c r="F24" s="18"/>
      <c r="G24" s="18"/>
      <c r="H24" s="18"/>
      <c r="I24" s="18"/>
      <c r="J24" s="18"/>
      <c r="K24" s="18"/>
      <c r="L24" s="18"/>
      <c r="M24" s="18"/>
      <c r="N24" s="18"/>
      <c r="O24" s="18"/>
      <c r="P24" s="18"/>
      <c r="Q24" s="18"/>
      <c r="R24" s="18"/>
      <c r="S24" s="18"/>
      <c r="T24" s="18"/>
      <c r="U24" s="18"/>
      <c r="V24" s="17"/>
      <c r="W24" s="17"/>
      <c r="X24" s="17"/>
    </row>
    <row r="25" spans="1:24" x14ac:dyDescent="0.2">
      <c r="A25" s="20"/>
      <c r="B25" s="20"/>
      <c r="C25" s="20"/>
      <c r="D25" s="20"/>
      <c r="E25" s="18"/>
      <c r="F25" s="18"/>
      <c r="G25" s="18"/>
      <c r="H25" s="18"/>
      <c r="I25" s="18"/>
      <c r="J25" s="18"/>
      <c r="K25" s="18"/>
      <c r="L25" s="18"/>
      <c r="M25" s="18"/>
      <c r="N25" s="18"/>
      <c r="O25" s="18"/>
      <c r="P25" s="18"/>
      <c r="Q25" s="18"/>
      <c r="R25" s="18"/>
      <c r="S25" s="18"/>
      <c r="T25" s="18"/>
      <c r="U25" s="18"/>
      <c r="V25" s="17"/>
      <c r="W25" s="17"/>
      <c r="X25" s="17"/>
    </row>
    <row r="26" spans="1:24" x14ac:dyDescent="0.2">
      <c r="A26" s="20"/>
      <c r="B26" s="20"/>
      <c r="C26" s="20"/>
      <c r="D26" s="20"/>
      <c r="E26" s="18"/>
      <c r="F26" s="18"/>
      <c r="G26" s="18"/>
      <c r="H26" s="18"/>
      <c r="I26" s="18"/>
      <c r="J26" s="18"/>
      <c r="K26" s="18"/>
      <c r="L26" s="18"/>
      <c r="M26" s="18"/>
      <c r="N26" s="18"/>
      <c r="O26" s="18"/>
      <c r="P26" s="18"/>
      <c r="Q26" s="18"/>
      <c r="R26" s="18"/>
      <c r="S26" s="18"/>
      <c r="T26" s="18"/>
      <c r="U26" s="18"/>
      <c r="V26" s="17"/>
      <c r="W26" s="17"/>
      <c r="X26" s="17"/>
    </row>
    <row r="27" spans="1:24" x14ac:dyDescent="0.2">
      <c r="A27" s="20"/>
      <c r="B27" s="20"/>
      <c r="C27" s="20"/>
      <c r="D27" s="20"/>
      <c r="E27" s="18"/>
      <c r="F27" s="18"/>
      <c r="G27" s="18"/>
      <c r="H27" s="18"/>
      <c r="I27" s="18"/>
      <c r="J27" s="18"/>
      <c r="K27" s="18"/>
      <c r="L27" s="18"/>
      <c r="M27" s="18"/>
      <c r="N27" s="18"/>
      <c r="O27" s="18"/>
      <c r="P27" s="18"/>
      <c r="Q27" s="18"/>
      <c r="R27" s="18"/>
      <c r="S27" s="18"/>
      <c r="T27" s="18"/>
      <c r="U27" s="18"/>
      <c r="V27" s="17"/>
      <c r="W27" s="17"/>
      <c r="X27" s="17"/>
    </row>
    <row r="28" spans="1:24" x14ac:dyDescent="0.2">
      <c r="A28" s="20"/>
      <c r="B28" s="20"/>
      <c r="C28" s="20"/>
      <c r="D28" s="20"/>
      <c r="E28" s="18"/>
      <c r="F28" s="18"/>
      <c r="G28" s="18"/>
      <c r="H28" s="18"/>
      <c r="I28" s="18"/>
      <c r="J28" s="18"/>
      <c r="K28" s="18"/>
      <c r="L28" s="18"/>
      <c r="M28" s="18"/>
      <c r="N28" s="18"/>
      <c r="O28" s="18"/>
      <c r="P28" s="18"/>
      <c r="Q28" s="18"/>
      <c r="R28" s="18"/>
      <c r="S28" s="18"/>
      <c r="T28" s="18"/>
      <c r="U28" s="18"/>
      <c r="V28" s="17"/>
      <c r="W28" s="17"/>
      <c r="X28" s="17"/>
    </row>
    <row r="29" spans="1:24" x14ac:dyDescent="0.2">
      <c r="A29" s="20"/>
      <c r="B29" s="20"/>
      <c r="C29" s="20"/>
      <c r="D29" s="20"/>
      <c r="E29" s="18"/>
      <c r="F29" s="18"/>
      <c r="G29" s="18"/>
      <c r="H29" s="18"/>
      <c r="I29" s="18"/>
      <c r="J29" s="18"/>
      <c r="K29" s="18"/>
      <c r="L29" s="18"/>
      <c r="M29" s="18"/>
      <c r="N29" s="18"/>
      <c r="O29" s="18"/>
      <c r="P29" s="18"/>
      <c r="Q29" s="18"/>
      <c r="R29" s="18"/>
      <c r="S29" s="18"/>
      <c r="T29" s="18"/>
      <c r="U29" s="18"/>
      <c r="V29" s="17"/>
      <c r="W29" s="17"/>
      <c r="X29" s="17"/>
    </row>
    <row r="30" spans="1:24" x14ac:dyDescent="0.2">
      <c r="A30" s="20"/>
      <c r="B30" s="20"/>
      <c r="C30" s="20"/>
      <c r="D30" s="20"/>
      <c r="E30" s="18"/>
      <c r="F30" s="18"/>
      <c r="G30" s="18"/>
      <c r="H30" s="18"/>
      <c r="I30" s="18"/>
      <c r="J30" s="18"/>
      <c r="K30" s="18"/>
      <c r="L30" s="18"/>
      <c r="M30" s="18"/>
      <c r="N30" s="18"/>
      <c r="O30" s="18"/>
      <c r="P30" s="18"/>
      <c r="Q30" s="18"/>
      <c r="R30" s="18"/>
      <c r="S30" s="18"/>
      <c r="T30" s="18"/>
      <c r="U30" s="18"/>
      <c r="V30" s="17"/>
      <c r="W30" s="17"/>
      <c r="X30" s="17"/>
    </row>
    <row r="31" spans="1:24" x14ac:dyDescent="0.2">
      <c r="A31" s="20"/>
      <c r="B31" s="20"/>
      <c r="C31" s="20"/>
      <c r="D31" s="20"/>
      <c r="E31" s="18"/>
      <c r="F31" s="18"/>
      <c r="G31" s="18"/>
      <c r="H31" s="18"/>
      <c r="I31" s="18"/>
      <c r="J31" s="18"/>
      <c r="K31" s="18"/>
      <c r="L31" s="18"/>
      <c r="M31" s="18"/>
      <c r="N31" s="18"/>
      <c r="O31" s="18"/>
      <c r="P31" s="18"/>
      <c r="Q31" s="18"/>
      <c r="R31" s="18"/>
      <c r="S31" s="18"/>
      <c r="T31" s="18"/>
      <c r="U31" s="18"/>
      <c r="V31" s="17"/>
      <c r="W31" s="17"/>
      <c r="X31" s="17"/>
    </row>
    <row r="32" spans="1:24" x14ac:dyDescent="0.2">
      <c r="A32" s="20"/>
      <c r="B32" s="20"/>
      <c r="C32" s="20"/>
      <c r="D32" s="20"/>
      <c r="E32" s="18"/>
      <c r="F32" s="18"/>
      <c r="G32" s="18"/>
      <c r="H32" s="18"/>
      <c r="I32" s="18"/>
      <c r="J32" s="18"/>
      <c r="K32" s="18"/>
      <c r="L32" s="18"/>
      <c r="M32" s="18"/>
      <c r="N32" s="18"/>
      <c r="O32" s="18"/>
      <c r="P32" s="18"/>
      <c r="Q32" s="18"/>
      <c r="R32" s="18"/>
      <c r="S32" s="18"/>
      <c r="T32" s="18"/>
      <c r="U32" s="18"/>
      <c r="V32" s="17"/>
      <c r="W32" s="17"/>
      <c r="X32" s="17"/>
    </row>
    <row r="33" spans="1:24" x14ac:dyDescent="0.2">
      <c r="A33" s="20"/>
      <c r="B33" s="20"/>
      <c r="C33" s="20"/>
      <c r="D33" s="20"/>
      <c r="E33" s="18"/>
      <c r="F33" s="18"/>
      <c r="G33" s="18"/>
      <c r="H33" s="18"/>
      <c r="I33" s="18"/>
      <c r="J33" s="18"/>
      <c r="K33" s="18"/>
      <c r="L33" s="18"/>
      <c r="M33" s="18"/>
      <c r="N33" s="18"/>
      <c r="O33" s="18"/>
      <c r="P33" s="18"/>
      <c r="Q33" s="18"/>
      <c r="R33" s="18"/>
      <c r="S33" s="18"/>
      <c r="T33" s="18"/>
      <c r="U33" s="18"/>
      <c r="V33" s="17"/>
      <c r="W33" s="17"/>
      <c r="X33" s="17"/>
    </row>
    <row r="34" spans="1:24" x14ac:dyDescent="0.2">
      <c r="A34" s="20"/>
      <c r="B34" s="20"/>
      <c r="C34" s="20"/>
      <c r="D34" s="20"/>
      <c r="E34" s="18"/>
      <c r="F34" s="18"/>
      <c r="G34" s="18"/>
      <c r="H34" s="18"/>
      <c r="I34" s="18"/>
      <c r="J34" s="18"/>
      <c r="K34" s="18"/>
      <c r="L34" s="18"/>
      <c r="M34" s="18"/>
      <c r="N34" s="18"/>
      <c r="O34" s="18"/>
      <c r="P34" s="18"/>
      <c r="Q34" s="18"/>
      <c r="R34" s="18"/>
      <c r="S34" s="18"/>
      <c r="T34" s="18"/>
      <c r="U34" s="18"/>
      <c r="V34" s="17"/>
      <c r="W34" s="17"/>
      <c r="X34" s="17"/>
    </row>
    <row r="35" spans="1:24" x14ac:dyDescent="0.2">
      <c r="A35" s="20"/>
      <c r="B35" s="20"/>
      <c r="C35" s="20"/>
      <c r="D35" s="20"/>
      <c r="E35" s="18"/>
      <c r="F35" s="18"/>
      <c r="G35" s="18"/>
      <c r="H35" s="18"/>
      <c r="I35" s="18"/>
      <c r="J35" s="18"/>
      <c r="K35" s="18"/>
      <c r="L35" s="18"/>
      <c r="M35" s="18"/>
      <c r="N35" s="18"/>
      <c r="O35" s="18"/>
      <c r="P35" s="18"/>
      <c r="Q35" s="18"/>
      <c r="R35" s="18"/>
      <c r="S35" s="18"/>
      <c r="T35" s="18"/>
      <c r="U35" s="18"/>
      <c r="V35" s="17"/>
      <c r="W35" s="17"/>
      <c r="X35" s="17"/>
    </row>
    <row r="36" spans="1:24" x14ac:dyDescent="0.2">
      <c r="A36" s="20"/>
      <c r="B36" s="20"/>
      <c r="C36" s="20"/>
      <c r="D36" s="20"/>
      <c r="E36" s="18"/>
      <c r="F36" s="18"/>
      <c r="G36" s="18"/>
      <c r="H36" s="18"/>
      <c r="I36" s="18"/>
      <c r="J36" s="18"/>
      <c r="K36" s="18"/>
      <c r="L36" s="18"/>
      <c r="M36" s="18"/>
      <c r="N36" s="18"/>
      <c r="O36" s="18"/>
      <c r="P36" s="18"/>
      <c r="Q36" s="18"/>
      <c r="R36" s="18"/>
      <c r="S36" s="18"/>
      <c r="T36" s="18"/>
      <c r="U36" s="18"/>
      <c r="V36" s="17"/>
      <c r="W36" s="17"/>
      <c r="X36" s="17"/>
    </row>
    <row r="37" spans="1:24" x14ac:dyDescent="0.2">
      <c r="A37" s="20"/>
      <c r="B37" s="20"/>
      <c r="C37" s="20"/>
      <c r="D37" s="20"/>
      <c r="E37" s="18"/>
      <c r="F37" s="18"/>
      <c r="G37" s="18"/>
      <c r="H37" s="18"/>
      <c r="I37" s="18"/>
      <c r="J37" s="18"/>
      <c r="K37" s="18"/>
      <c r="L37" s="18"/>
      <c r="M37" s="18"/>
      <c r="N37" s="18"/>
      <c r="O37" s="18"/>
      <c r="P37" s="18"/>
      <c r="Q37" s="18"/>
      <c r="R37" s="18"/>
      <c r="S37" s="18"/>
      <c r="T37" s="18"/>
      <c r="U37" s="18"/>
      <c r="V37" s="17"/>
      <c r="W37" s="17"/>
      <c r="X37" s="17"/>
    </row>
    <row r="38" spans="1:24" x14ac:dyDescent="0.2">
      <c r="A38" s="20"/>
      <c r="B38" s="20"/>
      <c r="C38" s="20"/>
      <c r="D38" s="20"/>
      <c r="E38" s="18"/>
      <c r="F38" s="18"/>
      <c r="G38" s="18"/>
      <c r="H38" s="18"/>
      <c r="I38" s="18"/>
      <c r="J38" s="18"/>
      <c r="K38" s="18"/>
      <c r="L38" s="18"/>
      <c r="M38" s="18"/>
      <c r="N38" s="18"/>
      <c r="O38" s="18"/>
      <c r="P38" s="18"/>
      <c r="Q38" s="18"/>
      <c r="R38" s="18"/>
      <c r="S38" s="18"/>
      <c r="T38" s="18"/>
      <c r="U38" s="18"/>
      <c r="V38" s="17"/>
      <c r="W38" s="17"/>
      <c r="X38" s="17"/>
    </row>
    <row r="39" spans="1:24" x14ac:dyDescent="0.2">
      <c r="A39" s="20"/>
      <c r="B39" s="20"/>
      <c r="C39" s="20"/>
      <c r="D39" s="20"/>
      <c r="E39" s="18"/>
      <c r="F39" s="18"/>
      <c r="G39" s="18"/>
      <c r="H39" s="18"/>
      <c r="I39" s="18"/>
      <c r="J39" s="18"/>
      <c r="K39" s="18"/>
      <c r="L39" s="18"/>
      <c r="M39" s="18"/>
      <c r="N39" s="18"/>
      <c r="O39" s="18"/>
      <c r="P39" s="18"/>
      <c r="Q39" s="18"/>
      <c r="R39" s="18"/>
      <c r="S39" s="18"/>
      <c r="T39" s="18"/>
      <c r="U39" s="18"/>
      <c r="V39" s="17"/>
      <c r="W39" s="17"/>
      <c r="X39" s="17"/>
    </row>
    <row r="40" spans="1:24" x14ac:dyDescent="0.2">
      <c r="A40" s="20"/>
      <c r="B40" s="20"/>
      <c r="C40" s="20"/>
      <c r="D40" s="20"/>
      <c r="E40" s="18"/>
      <c r="F40" s="18"/>
      <c r="G40" s="18"/>
      <c r="H40" s="18"/>
      <c r="I40" s="18"/>
      <c r="J40" s="18"/>
      <c r="K40" s="18"/>
      <c r="L40" s="18"/>
      <c r="M40" s="18"/>
      <c r="N40" s="18"/>
      <c r="O40" s="18"/>
      <c r="P40" s="18"/>
      <c r="Q40" s="18"/>
      <c r="R40" s="18"/>
      <c r="S40" s="18"/>
      <c r="T40" s="18"/>
      <c r="U40" s="18"/>
      <c r="V40" s="17"/>
      <c r="W40" s="17"/>
      <c r="X40" s="17"/>
    </row>
    <row r="41" spans="1:24" x14ac:dyDescent="0.2">
      <c r="A41" s="20"/>
      <c r="B41" s="20"/>
      <c r="C41" s="20"/>
      <c r="D41" s="20"/>
      <c r="E41" s="18"/>
      <c r="F41" s="18"/>
      <c r="G41" s="18"/>
      <c r="H41" s="18"/>
      <c r="I41" s="18"/>
      <c r="J41" s="18"/>
      <c r="K41" s="18"/>
      <c r="L41" s="18"/>
      <c r="M41" s="18"/>
      <c r="N41" s="18"/>
      <c r="O41" s="18"/>
      <c r="P41" s="18"/>
      <c r="Q41" s="18"/>
      <c r="R41" s="18"/>
      <c r="S41" s="18"/>
      <c r="T41" s="18"/>
      <c r="U41" s="18"/>
      <c r="V41" s="17"/>
      <c r="W41" s="17"/>
      <c r="X41" s="17"/>
    </row>
    <row r="42" spans="1:24" x14ac:dyDescent="0.2">
      <c r="A42" s="20"/>
      <c r="B42" s="20"/>
      <c r="C42" s="20"/>
      <c r="D42" s="20"/>
      <c r="E42" s="18"/>
      <c r="F42" s="18"/>
      <c r="G42" s="18"/>
      <c r="H42" s="18"/>
      <c r="I42" s="18"/>
      <c r="J42" s="18"/>
      <c r="K42" s="18"/>
      <c r="L42" s="18"/>
      <c r="M42" s="18"/>
      <c r="N42" s="18"/>
      <c r="O42" s="18"/>
      <c r="P42" s="18"/>
      <c r="Q42" s="18"/>
      <c r="R42" s="18"/>
      <c r="S42" s="18"/>
      <c r="T42" s="18"/>
      <c r="U42" s="18"/>
      <c r="V42" s="17"/>
      <c r="W42" s="17"/>
      <c r="X42" s="17"/>
    </row>
    <row r="43" spans="1:24" x14ac:dyDescent="0.2">
      <c r="A43" s="20"/>
      <c r="B43" s="20"/>
      <c r="C43" s="20"/>
      <c r="D43" s="20"/>
      <c r="E43" s="18"/>
      <c r="F43" s="18"/>
      <c r="G43" s="18"/>
      <c r="H43" s="18"/>
      <c r="I43" s="18"/>
      <c r="J43" s="18"/>
      <c r="K43" s="18"/>
      <c r="L43" s="18"/>
      <c r="M43" s="18"/>
      <c r="N43" s="18"/>
      <c r="O43" s="18"/>
      <c r="P43" s="18"/>
      <c r="Q43" s="18"/>
      <c r="R43" s="18"/>
      <c r="S43" s="18"/>
      <c r="T43" s="18"/>
      <c r="U43" s="18"/>
      <c r="V43" s="17"/>
      <c r="W43" s="17"/>
      <c r="X43" s="17"/>
    </row>
    <row r="44" spans="1:24" x14ac:dyDescent="0.2">
      <c r="A44" s="20"/>
      <c r="B44" s="20"/>
      <c r="C44" s="20"/>
      <c r="D44" s="20"/>
      <c r="E44" s="18"/>
      <c r="F44" s="18"/>
      <c r="G44" s="18"/>
      <c r="H44" s="18"/>
      <c r="I44" s="18"/>
      <c r="J44" s="18"/>
      <c r="K44" s="18"/>
      <c r="L44" s="18"/>
      <c r="M44" s="18"/>
      <c r="N44" s="18"/>
      <c r="O44" s="18"/>
      <c r="P44" s="18"/>
      <c r="Q44" s="18"/>
      <c r="R44" s="18"/>
      <c r="S44" s="18"/>
      <c r="T44" s="18"/>
      <c r="U44" s="18"/>
      <c r="V44" s="17"/>
      <c r="W44" s="17"/>
      <c r="X44" s="17"/>
    </row>
    <row r="45" spans="1:24" x14ac:dyDescent="0.2">
      <c r="A45" s="20"/>
      <c r="B45" s="20"/>
      <c r="C45" s="20"/>
      <c r="D45" s="20"/>
      <c r="E45" s="18"/>
      <c r="F45" s="18"/>
      <c r="G45" s="18"/>
      <c r="H45" s="18"/>
      <c r="I45" s="18"/>
      <c r="J45" s="18"/>
      <c r="K45" s="18"/>
      <c r="L45" s="18"/>
      <c r="M45" s="18"/>
      <c r="N45" s="18"/>
      <c r="O45" s="18"/>
      <c r="P45" s="18"/>
      <c r="Q45" s="18"/>
      <c r="R45" s="18"/>
      <c r="S45" s="18"/>
      <c r="T45" s="18"/>
      <c r="U45" s="18"/>
      <c r="V45" s="17"/>
      <c r="W45" s="17"/>
      <c r="X45" s="17"/>
    </row>
    <row r="46" spans="1:24" x14ac:dyDescent="0.2">
      <c r="A46" s="20"/>
      <c r="B46" s="20"/>
      <c r="C46" s="20"/>
      <c r="D46" s="20"/>
      <c r="E46" s="18"/>
      <c r="F46" s="18"/>
      <c r="G46" s="18"/>
      <c r="H46" s="18"/>
      <c r="I46" s="18"/>
      <c r="J46" s="18"/>
      <c r="K46" s="18"/>
      <c r="L46" s="18"/>
      <c r="M46" s="18"/>
      <c r="N46" s="18"/>
      <c r="O46" s="18"/>
      <c r="P46" s="18"/>
      <c r="Q46" s="18"/>
      <c r="R46" s="18"/>
      <c r="S46" s="18"/>
      <c r="T46" s="18"/>
      <c r="U46" s="18"/>
      <c r="V46" s="17"/>
      <c r="W46" s="17"/>
      <c r="X46" s="17"/>
    </row>
    <row r="47" spans="1:24" x14ac:dyDescent="0.2">
      <c r="A47" s="20"/>
      <c r="B47" s="20"/>
      <c r="C47" s="20"/>
      <c r="D47" s="20"/>
      <c r="E47" s="18"/>
      <c r="F47" s="18"/>
      <c r="G47" s="18"/>
      <c r="H47" s="18"/>
      <c r="I47" s="18"/>
      <c r="J47" s="18"/>
      <c r="K47" s="18"/>
      <c r="L47" s="18"/>
      <c r="M47" s="18"/>
      <c r="N47" s="18"/>
      <c r="O47" s="18"/>
      <c r="P47" s="18"/>
      <c r="Q47" s="18"/>
      <c r="R47" s="18"/>
      <c r="S47" s="18"/>
      <c r="T47" s="18"/>
      <c r="U47" s="18"/>
      <c r="V47" s="17"/>
      <c r="W47" s="17"/>
      <c r="X47" s="17"/>
    </row>
    <row r="48" spans="1:24" x14ac:dyDescent="0.2">
      <c r="A48" s="20"/>
      <c r="B48" s="20"/>
      <c r="C48" s="20"/>
      <c r="D48" s="20"/>
      <c r="E48" s="18"/>
      <c r="F48" s="18"/>
      <c r="G48" s="18"/>
      <c r="H48" s="18"/>
      <c r="I48" s="18"/>
      <c r="J48" s="18"/>
      <c r="K48" s="18"/>
      <c r="L48" s="18"/>
      <c r="M48" s="18"/>
      <c r="N48" s="18"/>
      <c r="O48" s="18"/>
      <c r="P48" s="18"/>
      <c r="Q48" s="18"/>
      <c r="R48" s="18"/>
      <c r="S48" s="18"/>
      <c r="T48" s="18"/>
      <c r="U48" s="18"/>
      <c r="V48" s="17"/>
      <c r="W48" s="17"/>
      <c r="X48" s="17"/>
    </row>
  </sheetData>
  <mergeCells count="5">
    <mergeCell ref="V1:X48"/>
    <mergeCell ref="E6:U48"/>
    <mergeCell ref="E5:U5"/>
    <mergeCell ref="E1:U4"/>
    <mergeCell ref="A1:D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2BB3AF-BD9B-8A48-9A63-FC12739C9D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Delivery Partner</vt:lpstr>
      <vt:lpstr>cancellation_reasons </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karve</dc:creator>
  <cp:lastModifiedBy>om karve</cp:lastModifiedBy>
  <dcterms:created xsi:type="dcterms:W3CDTF">2026-06-03T05:51:35Z</dcterms:created>
  <dcterms:modified xsi:type="dcterms:W3CDTF">2026-06-05T15:17:04Z</dcterms:modified>
</cp:coreProperties>
</file>